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OC_Synthetic" sheetId="2" state="visible" r:id="rId4"/>
    <sheet name="VOC_Real" sheetId="3" state="visible" r:id="rId5"/>
    <sheet name="Validation_Log" sheetId="4" state="visible" r:id="rId6"/>
    <sheet name="Segment_Rules" sheetId="5" state="visible" r:id="rId7"/>
    <sheet name="Funnel_Model" sheetId="6" state="visible" r:id="rId8"/>
    <sheet name="Share_Metric" sheetId="7" state="visible" r:id="rId9"/>
    <sheet name="Unit_Costs" sheetId="8" state="visible" r:id="rId10"/>
    <sheet name="Sensitivity" sheetId="9" state="visible" r:id="rId11"/>
    <sheet name="Pilot_Design" sheetId="10" state="visible" r:id="rId12"/>
    <sheet name="Dependencies_Risks" sheetId="11" state="visible" r:id="rId13"/>
    <sheet name="Sources" sheetId="12" state="visible" r:id="rId14"/>
    <sheet name="Change_Log_R1_R2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8" authorId="0">
      <text>
        <r>
          <rPr>
            <sz val="10"/>
            <rFont val="Arial"/>
            <family val="2"/>
          </rPr>
          <t xml:space="preserve">GMV baseline overlap (15%) vs MTU exclusion (44% already sometimes pay via Paytm): occasional Paytm payers' shifted payments are assumed mostly new; verify in pilot.</t>
        </r>
      </text>
    </comment>
  </commentList>
</comments>
</file>

<file path=xl/sharedStrings.xml><?xml version="1.0" encoding="utf-8"?>
<sst xmlns="http://schemas.openxmlformats.org/spreadsheetml/2006/main" count="2195" uniqueCount="856">
  <si>
    <t xml:space="preserve">Paytitude · Paytm UPI Growth Challenge, Track B · Round 2 annexure</t>
  </si>
  <si>
    <t xml:space="preserve">Settle &amp; Pay: making Paytm the place merchants spend the money they see arrive · 9 October 2026</t>
  </si>
  <si>
    <t xml:space="preserve">Purpose</t>
  </si>
  <si>
    <t xml:space="preserve">Supporting evidence and the live model behind Paytitude_R2.pdf. Every number in the deck traces to a cell here or to a cited source (sheet 'Sources').</t>
  </si>
  <si>
    <t xml:space="preserve">Evidence-status legend</t>
  </si>
  <si>
    <t xml:space="preserve">Fact (cited)</t>
  </si>
  <si>
    <t xml:space="preserve">Public, sourced fact; see 'Sources' for URL and verification status</t>
  </si>
  <si>
    <t xml:space="preserve">Synthetic hypothesis</t>
  </si>
  <si>
    <t xml:space="preserve">Derived from the 50-row synthetic VOC dataset; for hypothesis stress-testing only, not market prevalence</t>
  </si>
  <si>
    <t xml:space="preserve">Projection</t>
  </si>
  <si>
    <t xml:space="preserve">Model output from stated assumptions; a projection, not a forecast or commitment</t>
  </si>
  <si>
    <t xml:space="preserve">To validate</t>
  </si>
  <si>
    <t xml:space="preserve">Open item to be measured (validation test, Paytm data or pilot)</t>
  </si>
  <si>
    <t xml:space="preserve">Validated (n = __)</t>
  </si>
  <si>
    <t xml:space="preserve">Measured with real target users; n stated. None yet: see 'Validation_Log'</t>
  </si>
  <si>
    <t xml:space="preserve">Synthetic-data disclosure</t>
  </si>
  <si>
    <t xml:space="preserve">Verbatim from the VOC workbook's 'Methodology Notes' sheet:</t>
  </si>
  <si>
    <t xml:space="preserve">This is synthetic research for hypothesis stress-testing, not customer evidence.</t>
  </si>
  <si>
    <t xml:space="preserve">The set intentionally includes positive, ambiguous and negative cases.</t>
  </si>
  <si>
    <t xml:space="preserve">Paytm collection usage, settlement timing, payment account, app choice and willingness to switch are not perfectly correlated.</t>
  </si>
  <si>
    <t xml:space="preserve">Business Pay is tested against alternative explanations: habit, staff control, accounting, verification, supplier rail and trust.</t>
  </si>
  <si>
    <t xml:space="preserve">Credit is deliberately not positioned as the default solution.</t>
  </si>
  <si>
    <t xml:space="preserve">Cell colour convention</t>
  </si>
  <si>
    <t xml:space="preserve">Blue text</t>
  </si>
  <si>
    <t xml:space="preserve">Hard-coded input or scenario lever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</si>
  <si>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</si>
  <si>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</si>
  <si>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</si>
  <si>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</si>
  <si>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</si>
  <si>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Key assumption, or a cell to fill in</t>
  </si>
  <si>
    <t xml:space="preserve">File map</t>
  </si>
  <si>
    <t xml:space="preserve">Paytitude_R2.pdf</t>
  </si>
  <si>
    <t xml:space="preserve">Submission deck: cover, 15 content slides, annexure divider, annexures A1–A8</t>
  </si>
  <si>
    <t xml:space="preserve">Paytitude_R2.pptx</t>
  </si>
  <si>
    <t xml:space="preserve">Live version with animations and speaker notes (Morph renders in PowerPoint 2019/365)</t>
  </si>
  <si>
    <t xml:space="preserve">Paytitude_R2_Annexure.xlsx</t>
  </si>
  <si>
    <t xml:space="preserve">This workbook</t>
  </si>
  <si>
    <t xml:space="preserve">Sheets</t>
  </si>
  <si>
    <t xml:space="preserve">VOC_Synthetic</t>
  </si>
  <si>
    <t xml:space="preserve">All 50 rows of the synthetic VOC dataset, plus derived settlement profile, quadrant, group and contradiction flag</t>
  </si>
  <si>
    <t xml:space="preserve">VOC_Real</t>
  </si>
  <si>
    <t xml:space="preserve">Genuine exploratory conversations (notes to be added)</t>
  </si>
  <si>
    <t xml:space="preserve">Validation_Log</t>
  </si>
  <si>
    <t xml:space="preserve">One row per tested user (≥20). Summary formulas on top. EMPTY until the test is run</t>
  </si>
  <si>
    <t xml:space="preserve">Segment_Rules</t>
  </si>
  <si>
    <t xml:space="preserve">Inclusion rules and group counts, computed live from VOC_Synthetic</t>
  </si>
  <si>
    <t xml:space="preserve">Funnel_Model</t>
  </si>
  <si>
    <t xml:space="preserve">Cautious / base / upside funnel (projection)</t>
  </si>
  <si>
    <t xml:space="preserve">Share_Metric</t>
  </si>
  <si>
    <t xml:space="preserve">Main metric: Paytm share of segment vendor-UPI value</t>
  </si>
  <si>
    <t xml:space="preserve">Unit_Costs</t>
  </si>
  <si>
    <t xml:space="preserve">Cost per incremental MTU and per ₹ of incremental GMV, with and without build</t>
  </si>
  <si>
    <t xml:space="preserve">Sensitivity</t>
  </si>
  <si>
    <t xml:space="preserve">Halving the three key assumptions, plus the gap-days-only floor</t>
  </si>
  <si>
    <t xml:space="preserve">Pilot_Design</t>
  </si>
  <si>
    <t xml:space="preserve">90-day randomised pilot</t>
  </si>
  <si>
    <t xml:space="preserve">Dependencies_Risks</t>
  </si>
  <si>
    <t xml:space="preserve">Dependency register and risk register</t>
  </si>
  <si>
    <t xml:space="preserve">Sources</t>
  </si>
  <si>
    <t xml:space="preserve">Every external source with URL, access date and verification status</t>
  </si>
  <si>
    <t xml:space="preserve">Change_Log_R1_R2</t>
  </si>
  <si>
    <t xml:space="preserve">What changed since Round 1 and why</t>
  </si>
  <si>
    <t xml:space="preserve">SYNTHETIC: hypothesis stress-testing, not field research. Counts are not market shares; verbatims are dataset responses, not interviewed merchants.</t>
  </si>
  <si>
    <t xml:space="preserve">Source: Paytm_Track_B_VOCs.xlsx, sheet '50 VOCs' (columns A–Z unchanged). Columns AA–AD added by Paytitude.</t>
  </si>
  <si>
    <t xml:space="preserve">Respondent ID</t>
  </si>
  <si>
    <t xml:space="preserve">City</t>
  </si>
  <si>
    <t xml:space="preserve">Business Type</t>
  </si>
  <si>
    <t xml:space="preserve">Business Size</t>
  </si>
  <si>
    <t xml:space="preserve">Monthly Business Payment Estimate</t>
  </si>
  <si>
    <t xml:space="preserve">Main Business Payment Types</t>
  </si>
  <si>
    <t xml:space="preserve">Supplier Payment Frequency</t>
  </si>
  <si>
    <t xml:space="preserve">UPI Vendor Payment Frequency</t>
  </si>
  <si>
    <t xml:space="preserve">Current App Used for Business UPI</t>
  </si>
  <si>
    <t xml:space="preserve">Secondary App</t>
  </si>
  <si>
    <t xml:space="preserve">Paytm Collection Usage</t>
  </si>
  <si>
    <t xml:space="preserve">Paytm Outgoing Usage</t>
  </si>
  <si>
    <t xml:space="preserve">Who Makes Payments</t>
  </si>
  <si>
    <t xml:space="preserve">Who Chooses App</t>
  </si>
  <si>
    <t xml:space="preserve">Planned vs Urgent vs Routine UPI</t>
  </si>
  <si>
    <t xml:space="preserve">Supplier Credit</t>
  </si>
  <si>
    <t xml:space="preserve">Cash-flow Pain</t>
  </si>
  <si>
    <t xml:space="preserve">Why Current App Is Preferred</t>
  </si>
  <si>
    <t xml:space="preserve">Reaction to Paytm Business Pay</t>
  </si>
  <si>
    <t xml:space="preserve">Would Switch to Paytm?</t>
  </si>
  <si>
    <t xml:space="preserve">Would Use Without Credit?</t>
  </si>
  <si>
    <t xml:space="preserve">Credit Need</t>
  </si>
  <si>
    <t xml:space="preserve">Key Pain Point</t>
  </si>
  <si>
    <t xml:space="preserve">Key Insight</t>
  </si>
  <si>
    <t xml:space="preserve">Verbatim 1</t>
  </si>
  <si>
    <t xml:space="preserve">Verbatim 2</t>
  </si>
  <si>
    <t xml:space="preserve">Settlement profile (derived)</t>
  </si>
  <si>
    <t xml:space="preserve">Segment quadrant</t>
  </si>
  <si>
    <t xml:space="preserve">Segment group</t>
  </si>
  <si>
    <t xml:space="preserve">Contradiction flag</t>
  </si>
  <si>
    <t xml:space="preserve">V01</t>
  </si>
  <si>
    <t xml:space="preserve">Mumbai</t>
  </si>
  <si>
    <t xml:space="preserve">Hardware retailer</t>
  </si>
  <si>
    <t xml:space="preserve">Small</t>
  </si>
  <si>
    <t xml:space="preserve">₹2–4 lakh</t>
  </si>
  <si>
    <t xml:space="preserve">UPI for small supplier payments; bank/cash for larger or formal dues</t>
  </si>
  <si>
    <t xml:space="preserve">2–3 times/week</t>
  </si>
  <si>
    <t xml:space="preserve">Daily</t>
  </si>
  <si>
    <t xml:space="preserve">Google Pay</t>
  </si>
  <si>
    <t xml:space="preserve">PhonePe</t>
  </si>
  <si>
    <t xml:space="preserve">Paytm QR; settlement same day</t>
  </si>
  <si>
    <t xml:space="preserve">Rarely</t>
  </si>
  <si>
    <t xml:space="preserve">Owner + spouse</t>
  </si>
  <si>
    <t xml:space="preserve">Owner</t>
  </si>
  <si>
    <t xml:space="preserve">Routine</t>
  </si>
  <si>
    <t xml:space="preserve">Cash / same day</t>
  </si>
  <si>
    <t xml:space="preserve">Low</t>
  </si>
  <si>
    <t xml:space="preserve">Same-day settlement</t>
  </si>
  <si>
    <t xml:space="preserve">Calls it another wallet/app without a clear advantage</t>
  </si>
  <si>
    <t xml:space="preserve">No</t>
  </si>
  <si>
    <t xml:space="preserve">Yes</t>
  </si>
  <si>
    <t xml:space="preserve">No meaningful switching benefit</t>
  </si>
  <si>
    <t xml:space="preserve">Daily UPI usage does not automatically create Business Pay demand.</t>
  </si>
  <si>
    <t xml:space="preserve">Same steps hain toh app kyun badlu?</t>
  </si>
  <si>
    <t xml:space="preserve">A better button is not enough to make me change apps.</t>
  </si>
  <si>
    <t xml:space="preserve">Same day</t>
  </si>
  <si>
    <t xml:space="preserve">Same-day + no friction</t>
  </si>
  <si>
    <t xml:space="preserve">Group 3</t>
  </si>
  <si>
    <t xml:space="preserve">N</t>
  </si>
  <si>
    <t xml:space="preserve">V02</t>
  </si>
  <si>
    <t xml:space="preserve">Stationery wholesaler</t>
  </si>
  <si>
    <t xml:space="preserve">₹1–2 lakh</t>
  </si>
  <si>
    <t xml:space="preserve">UPI for small vendor payments; bank transfer for larger dues</t>
  </si>
  <si>
    <t xml:space="preserve">Weekly</t>
  </si>
  <si>
    <t xml:space="preserve">3–5 times/week</t>
  </si>
  <si>
    <t xml:space="preserve">None</t>
  </si>
  <si>
    <t xml:space="preserve">Paytm QR; next day</t>
  </si>
  <si>
    <t xml:space="preserve">Never</t>
  </si>
  <si>
    <t xml:space="preserve">Cash / 2–3 days</t>
  </si>
  <si>
    <t xml:space="preserve">Muscle memory</t>
  </si>
  <si>
    <t xml:space="preserve">Would not switch for convenience alone</t>
  </si>
  <si>
    <t xml:space="preserve">Maybe</t>
  </si>
  <si>
    <t xml:space="preserve">Habit</t>
  </si>
  <si>
    <t xml:space="preserve">Product parity is unlikely to overcome an established payment routine.</t>
  </si>
  <si>
    <t xml:space="preserve">Market mein sab isi pe hain.</t>
  </si>
  <si>
    <t xml:space="preserve">If it is the same number of steps, I will keep what I already use.</t>
  </si>
  <si>
    <t xml:space="preserve">Next day</t>
  </si>
  <si>
    <t xml:space="preserve">Next-day/separate + no friction</t>
  </si>
  <si>
    <t xml:space="preserve">Group 2</t>
  </si>
  <si>
    <t xml:space="preserve">V03</t>
  </si>
  <si>
    <t xml:space="preserve">Bhopal</t>
  </si>
  <si>
    <t xml:space="preserve">Restaurant</t>
  </si>
  <si>
    <t xml:space="preserve">Bank app</t>
  </si>
  <si>
    <t xml:space="preserve">15 days</t>
  </si>
  <si>
    <t xml:space="preserve">Rejects; same-day settlement already removes the proposed pain</t>
  </si>
  <si>
    <t xml:space="preserve">No timing problem</t>
  </si>
  <si>
    <t xml:space="preserve">I already have a working payment habit.</t>
  </si>
  <si>
    <t xml:space="preserve">V04</t>
  </si>
  <si>
    <t xml:space="preserve">Dairy retailer</t>
  </si>
  <si>
    <t xml:space="preserve">₹4–7 lakh</t>
  </si>
  <si>
    <t xml:space="preserve">30 days</t>
  </si>
  <si>
    <t xml:space="preserve">Local market uses the app</t>
  </si>
  <si>
    <t xml:space="preserve">Would try for a few payments but keep the existing app</t>
  </si>
  <si>
    <t xml:space="preserve">No differentiated benefit</t>
  </si>
  <si>
    <t xml:space="preserve">V05</t>
  </si>
  <si>
    <t xml:space="preserve">Mohali</t>
  </si>
  <si>
    <t xml:space="preserve">Salon</t>
  </si>
  <si>
    <t xml:space="preserve">₹80k–₹1.5 lakh</t>
  </si>
  <si>
    <t xml:space="preserve">2–4 times/month</t>
  </si>
  <si>
    <t xml:space="preserve">Habit and staff familiarity</t>
  </si>
  <si>
    <t xml:space="preserve">Only interested if it adds accounting/verification value</t>
  </si>
  <si>
    <t xml:space="preserve">Convenience alone is not enough to switch</t>
  </si>
  <si>
    <t xml:space="preserve">PhonePe hi chalta hai, aadat ho gayi hai.</t>
  </si>
  <si>
    <t xml:space="preserve">V06</t>
  </si>
  <si>
    <t xml:space="preserve">Mobile accessories retailer</t>
  </si>
  <si>
    <t xml:space="preserve">₹2–5 lakh</t>
  </si>
  <si>
    <t xml:space="preserve">Routine + urgent</t>
  </si>
  <si>
    <t xml:space="preserve">Habit; no current pain</t>
  </si>
  <si>
    <t xml:space="preserve">Mera settlement same day aa jata hai, toh problem kya hai?</t>
  </si>
  <si>
    <t xml:space="preserve">V07</t>
  </si>
  <si>
    <t xml:space="preserve">Nashik</t>
  </si>
  <si>
    <t xml:space="preserve">Electrical shop</t>
  </si>
  <si>
    <t xml:space="preserve">₹1–3 lakh</t>
  </si>
  <si>
    <t xml:space="preserve">Daily/weekly UPI to suppliers; bank for rent, salaries or large invoices</t>
  </si>
  <si>
    <t xml:space="preserve">Paytm QR; settlement next day</t>
  </si>
  <si>
    <t xml:space="preserve">None / cash</t>
  </si>
  <si>
    <t xml:space="preserve">Medium</t>
  </si>
  <si>
    <t xml:space="preserve">PhonePe is already open and suppliers use it</t>
  </si>
  <si>
    <t xml:space="preserve">Strong interest, but only if it removes the need to transfer money between accounts</t>
  </si>
  <si>
    <t xml:space="preserve">Morning supplier payment before settlement</t>
  </si>
  <si>
    <t xml:space="preserve">The strongest Business Pay case is a real timing/account gap, not generic UPI convenience.</t>
  </si>
  <si>
    <t xml:space="preserve">Subah supplier ko paisa chahiye, collection baad mein settle hota hai.</t>
  </si>
  <si>
    <t xml:space="preserve">Loan nahi chahiye. Jo collect kiya hai, woh use karna hai.</t>
  </si>
  <si>
    <t xml:space="preserve">Next-day/separate + friction</t>
  </si>
  <si>
    <t xml:space="preserve">Group 1</t>
  </si>
  <si>
    <t xml:space="preserve">V08</t>
  </si>
  <si>
    <t xml:space="preserve">Beauty products distributor</t>
  </si>
  <si>
    <t xml:space="preserve">₹70k–₹1.2 lakh</t>
  </si>
  <si>
    <t xml:space="preserve">Habit is a real barrier when there is no concrete pain.</t>
  </si>
  <si>
    <t xml:space="preserve">Mujhe naya system seekhne ka reason nahi dikhta.</t>
  </si>
  <si>
    <t xml:space="preserve">V09</t>
  </si>
  <si>
    <t xml:space="preserve">Jaipur</t>
  </si>
  <si>
    <t xml:space="preserve">Sometimes</t>
  </si>
  <si>
    <t xml:space="preserve">2–7 days</t>
  </si>
  <si>
    <t xml:space="preserve">Supplier sends QR on WhatsApp</t>
  </si>
  <si>
    <t xml:space="preserve">Money arrives in a different account</t>
  </si>
  <si>
    <t xml:space="preserve">Aaj ka maal aaj lena hai; kal ka settlement ka wait nahi kar sakta.</t>
  </si>
  <si>
    <t xml:space="preserve">V10</t>
  </si>
  <si>
    <t xml:space="preserve">Nagpur</t>
  </si>
  <si>
    <t xml:space="preserve">Dairy distributor</t>
  </si>
  <si>
    <t xml:space="preserve">₹12–20 lakh</t>
  </si>
  <si>
    <t xml:space="preserve">4–6 times/week</t>
  </si>
  <si>
    <t xml:space="preserve">Owner + brother</t>
  </si>
  <si>
    <t xml:space="preserve">Urgent</t>
  </si>
  <si>
    <t xml:space="preserve">7 days</t>
  </si>
  <si>
    <t xml:space="preserve">High</t>
  </si>
  <si>
    <t xml:space="preserve">Fast for small payments</t>
  </si>
  <si>
    <t xml:space="preserve">Useful for morning/urgent purchases; not enough to replace the existing app everywhere</t>
  </si>
  <si>
    <t xml:space="preserve">Stock payment due before collections settle</t>
  </si>
  <si>
    <t xml:space="preserve">Daily-supply merchants can have repeated but narrow payment-timing friction.</t>
  </si>
  <si>
    <t xml:space="preserve">Account alag hai, pehle transfer karna padta hai.</t>
  </si>
  <si>
    <t xml:space="preserve">Urgent payment ke time app change nahi, direct flow chahiye.</t>
  </si>
  <si>
    <t xml:space="preserve">Same-day + friction</t>
  </si>
  <si>
    <t xml:space="preserve">Y</t>
  </si>
  <si>
    <t xml:space="preserve">V11</t>
  </si>
  <si>
    <t xml:space="preserve">Furniture retailer</t>
  </si>
  <si>
    <t xml:space="preserve">₹7–12 lakh</t>
  </si>
  <si>
    <t xml:space="preserve">Paytm QR; same-day settlement to current account</t>
  </si>
  <si>
    <t xml:space="preserve">Invoices, approvals and bank records</t>
  </si>
  <si>
    <t xml:space="preserve">Formal supplier payments stay outside the UPI-app wedge</t>
  </si>
  <si>
    <t xml:space="preserve">V12</t>
  </si>
  <si>
    <t xml:space="preserve">Gurugram</t>
  </si>
  <si>
    <t xml:space="preserve">Electronics repair shop</t>
  </si>
  <si>
    <t xml:space="preserve">V13</t>
  </si>
  <si>
    <t xml:space="preserve">Bengaluru</t>
  </si>
  <si>
    <t xml:space="preserve">Cloud kitchen</t>
  </si>
  <si>
    <t xml:space="preserve">₹2–3 lakh</t>
  </si>
  <si>
    <t xml:space="preserve">No Paytm collection; GPay QR</t>
  </si>
  <si>
    <t xml:space="preserve">No Paytm relationship</t>
  </si>
  <si>
    <t xml:space="preserve">No interest; does not collect on Paytm and sees no reason to add it</t>
  </si>
  <si>
    <t xml:space="preserve">No collection relationship means no obvious right to win</t>
  </si>
  <si>
    <t xml:space="preserve">None/partial</t>
  </si>
  <si>
    <t xml:space="preserve">Excluded: no or partial Paytm collection</t>
  </si>
  <si>
    <t xml:space="preserve">V14</t>
  </si>
  <si>
    <t xml:space="preserve">Auto parts shop</t>
  </si>
  <si>
    <t xml:space="preserve">UPI to suppliers/vendors; bank transfer for larger dues</t>
  </si>
  <si>
    <t xml:space="preserve">Paytm</t>
  </si>
  <si>
    <t xml:space="preserve">Paytm QR; settlement next day to a separate current account</t>
  </si>
  <si>
    <t xml:space="preserve">Owner + manager</t>
  </si>
  <si>
    <t xml:space="preserve">3–7 days</t>
  </si>
  <si>
    <t xml:space="preserve">Supplier contacts and QR codes are already saved</t>
  </si>
  <si>
    <t xml:space="preserve">More interested in staff/family controls than changing the owner's UPI app</t>
  </si>
  <si>
    <t xml:space="preserve">Owner visibility over ad-hoc payments</t>
  </si>
  <si>
    <t xml:space="preserve">Multi-payer businesses may value controls, limits and a shared business history more than app switching.</t>
  </si>
  <si>
    <t xml:space="preserve">Staff payment karta hai, mujhe baad mein pata chalta hai.</t>
  </si>
  <si>
    <t xml:space="preserve">Give the person a limit and show me the payment immediately.</t>
  </si>
  <si>
    <t xml:space="preserve">Next day, separate account</t>
  </si>
  <si>
    <t xml:space="preserve">V15</t>
  </si>
  <si>
    <t xml:space="preserve">Hyderabad</t>
  </si>
  <si>
    <t xml:space="preserve">Agri-input retailer</t>
  </si>
  <si>
    <t xml:space="preserve">₹8–15 lakh</t>
  </si>
  <si>
    <t xml:space="preserve">NEFT/RTGS/bank transfer for major suppliers; UPI for petty expenses</t>
  </si>
  <si>
    <t xml:space="preserve">No Paytm collection; bank transfer collections</t>
  </si>
  <si>
    <t xml:space="preserve">Accountant</t>
  </si>
  <si>
    <t xml:space="preserve">Planned</t>
  </si>
  <si>
    <t xml:space="preserve">15–30 days</t>
  </si>
  <si>
    <t xml:space="preserve">Supplier insists on bank transfer</t>
  </si>
  <si>
    <t xml:space="preserve">Rejects; main supplier payments are invoice-led</t>
  </si>
  <si>
    <t xml:space="preserve">Bank reconciliation and approvals</t>
  </si>
  <si>
    <t xml:space="preserve">Formal, invoice-led supplier payments are structurally outside the Business Pay wedge.</t>
  </si>
  <si>
    <t xml:space="preserve">Bade supplier ko UPI se payment karna hi nahi hai.</t>
  </si>
  <si>
    <t xml:space="preserve">For the small UPI payments, changing apps is not worth it.</t>
  </si>
  <si>
    <t xml:space="preserve">V16</t>
  </si>
  <si>
    <t xml:space="preserve">Bakery</t>
  </si>
  <si>
    <t xml:space="preserve">Paytm QR; next-day settlement</t>
  </si>
  <si>
    <t xml:space="preserve">Same-day</t>
  </si>
  <si>
    <t xml:space="preserve">Would use for daily supplier payments if today's collections can be used before settlement</t>
  </si>
  <si>
    <t xml:space="preserve">Daily-supply timing is a narrow but testable use case</t>
  </si>
  <si>
    <t xml:space="preserve">V17</t>
  </si>
  <si>
    <t xml:space="preserve">Pharmacy</t>
  </si>
  <si>
    <t xml:space="preserve">₹3–6 lakh</t>
  </si>
  <si>
    <t xml:space="preserve">3 days</t>
  </si>
  <si>
    <t xml:space="preserve">A collections-linked payment flow is compelling only when the merchant otherwise has to wait or move money.</t>
  </si>
  <si>
    <t xml:space="preserve">V18</t>
  </si>
  <si>
    <t xml:space="preserve">Noida</t>
  </si>
  <si>
    <t xml:space="preserve">Accounting software and maker-checker process</t>
  </si>
  <si>
    <t xml:space="preserve">Invoice ke bina payment process nahi hota.</t>
  </si>
  <si>
    <t xml:space="preserve">We need an audit trail more than another payment button.</t>
  </si>
  <si>
    <t xml:space="preserve">Excluded: accountant chooses app</t>
  </si>
  <si>
    <t xml:space="preserve">V19</t>
  </si>
  <si>
    <t xml:space="preserve">Lucknow</t>
  </si>
  <si>
    <t xml:space="preserve">Kirana</t>
  </si>
  <si>
    <t xml:space="preserve">₹10–18 lakh</t>
  </si>
  <si>
    <t xml:space="preserve">Habit plus local trader network</t>
  </si>
  <si>
    <t xml:space="preserve">V20</t>
  </si>
  <si>
    <t xml:space="preserve">₹5–9 lakh</t>
  </si>
  <si>
    <t xml:space="preserve">V21</t>
  </si>
  <si>
    <t xml:space="preserve">Paytm QR; same-day settlement</t>
  </si>
  <si>
    <t xml:space="preserve">Owner + staff</t>
  </si>
  <si>
    <t xml:space="preserve">Manager</t>
  </si>
  <si>
    <t xml:space="preserve">No cash-flow issue</t>
  </si>
  <si>
    <t xml:space="preserve">Fragmented records across phones</t>
  </si>
  <si>
    <t xml:space="preserve">Paytm collection does not automatically create a payment use case</t>
  </si>
  <si>
    <t xml:space="preserve">Main issue app nahi hai, control hai.</t>
  </si>
  <si>
    <t xml:space="preserve">I don't want to change my personal UPI just to manage business spending.</t>
  </si>
  <si>
    <t xml:space="preserve">V22</t>
  </si>
  <si>
    <t xml:space="preserve">Paytm QR; same day</t>
  </si>
  <si>
    <t xml:space="preserve">Payment links and suppliers are already saved</t>
  </si>
  <si>
    <t xml:space="preserve">The app is not the problem; I just don't want another workflow.</t>
  </si>
  <si>
    <t xml:space="preserve">V23</t>
  </si>
  <si>
    <t xml:space="preserve">Coaching centre</t>
  </si>
  <si>
    <t xml:space="preserve">₹6–10 lakh</t>
  </si>
  <si>
    <t xml:space="preserve">No Paytm collection; bank/GPay/PhonePe collections</t>
  </si>
  <si>
    <t xml:space="preserve">If I can pay directly from today's collection, that saves an actual step.</t>
  </si>
  <si>
    <t xml:space="preserve">V24</t>
  </si>
  <si>
    <t xml:space="preserve">Owner + accountant</t>
  </si>
  <si>
    <t xml:space="preserve">Morning payment pressure</t>
  </si>
  <si>
    <t xml:space="preserve">Collection linkage is secondary; controlled business access is the real value</t>
  </si>
  <si>
    <t xml:space="preserve">Staff payment control</t>
  </si>
  <si>
    <t xml:space="preserve">Strong candidate only if today's collections are genuinely usable</t>
  </si>
  <si>
    <t xml:space="preserve">V25</t>
  </si>
  <si>
    <t xml:space="preserve">V26</t>
  </si>
  <si>
    <t xml:space="preserve">Ahmedabad</t>
  </si>
  <si>
    <t xml:space="preserve">Supplier network already uses the app</t>
  </si>
  <si>
    <t xml:space="preserve">V27</t>
  </si>
  <si>
    <t xml:space="preserve">Staff already uses this app</t>
  </si>
  <si>
    <t xml:space="preserve">Would test if staff can pay within limits and owner sees the history</t>
  </si>
  <si>
    <t xml:space="preserve">V28</t>
  </si>
  <si>
    <t xml:space="preserve">V29</t>
  </si>
  <si>
    <t xml:space="preserve">V30</t>
  </si>
  <si>
    <t xml:space="preserve">Footwear shop</t>
  </si>
  <si>
    <t xml:space="preserve">V31</t>
  </si>
  <si>
    <t xml:space="preserve">Plastic goods manufacturer</t>
  </si>
  <si>
    <t xml:space="preserve">₹15–25 lakh</t>
  </si>
  <si>
    <t xml:space="preserve">Paytm QR only for visitor payments</t>
  </si>
  <si>
    <t xml:space="preserve">ERP, invoices and bank approvals</t>
  </si>
  <si>
    <t xml:space="preserve">Formal procurement workflow is out of scope</t>
  </si>
  <si>
    <t xml:space="preserve">V32</t>
  </si>
  <si>
    <t xml:space="preserve">V33</t>
  </si>
  <si>
    <t xml:space="preserve">V34</t>
  </si>
  <si>
    <t xml:space="preserve">Pune</t>
  </si>
  <si>
    <t xml:space="preserve">Café</t>
  </si>
  <si>
    <t xml:space="preserve">Same-day settlement removes the proposed pain</t>
  </si>
  <si>
    <t xml:space="preserve">Important negative control</t>
  </si>
  <si>
    <t xml:space="preserve">V35</t>
  </si>
  <si>
    <t xml:space="preserve">V36</t>
  </si>
  <si>
    <t xml:space="preserve">V37</t>
  </si>
  <si>
    <t xml:space="preserve">Indore</t>
  </si>
  <si>
    <t xml:space="preserve">Owner + son</t>
  </si>
  <si>
    <t xml:space="preserve">V38</t>
  </si>
  <si>
    <t xml:space="preserve">Switching/relearning cost</t>
  </si>
  <si>
    <t xml:space="preserve">V39</t>
  </si>
  <si>
    <t xml:space="preserve">Chandigarh</t>
  </si>
  <si>
    <t xml:space="preserve">Paytm QR only for some customers; settlement same day</t>
  </si>
  <si>
    <t xml:space="preserve">30–45 days</t>
  </si>
  <si>
    <t xml:space="preserve">No need; UPI is too small a share of supplier spend</t>
  </si>
  <si>
    <t xml:space="preserve">Large-ticket payments are not UPI payments</t>
  </si>
  <si>
    <t xml:space="preserve">V40</t>
  </si>
  <si>
    <t xml:space="preserve">V41</t>
  </si>
  <si>
    <t xml:space="preserve">Meat shop</t>
  </si>
  <si>
    <t xml:space="preserve">V42</t>
  </si>
  <si>
    <t xml:space="preserve">Pet supplies retailer</t>
  </si>
  <si>
    <t xml:space="preserve">No timing pain</t>
  </si>
  <si>
    <t xml:space="preserve">Daily UPI usage does not imply Business Pay demand</t>
  </si>
  <si>
    <t xml:space="preserve">Paytm se collection bhi nahi leta, so payment side ka reason nahi hai.</t>
  </si>
  <si>
    <t xml:space="preserve">V43</t>
  </si>
  <si>
    <t xml:space="preserve">V44</t>
  </si>
  <si>
    <t xml:space="preserve">V45</t>
  </si>
  <si>
    <t xml:space="preserve">Delhi NCR</t>
  </si>
  <si>
    <t xml:space="preserve">Cash/2–3 days</t>
  </si>
  <si>
    <t xml:space="preserve">V46</t>
  </si>
  <si>
    <t xml:space="preserve">Cashback/occasional offers</t>
  </si>
  <si>
    <t xml:space="preserve">V47</t>
  </si>
  <si>
    <t xml:space="preserve">Different people pay from different phones</t>
  </si>
  <si>
    <t xml:space="preserve">Do phones hain, hisaab ek jagah nahi hai.</t>
  </si>
  <si>
    <t xml:space="preserve">V48</t>
  </si>
  <si>
    <t xml:space="preserve">30–60 days</t>
  </si>
  <si>
    <t xml:space="preserve">Invoices, approvals and bank reconciliation</t>
  </si>
  <si>
    <t xml:space="preserve">Not relevant to our payment workflow</t>
  </si>
  <si>
    <t xml:space="preserve">Supplier rail is fixed</t>
  </si>
  <si>
    <t xml:space="preserve">Supplier ko bank trail chahiye.</t>
  </si>
  <si>
    <t xml:space="preserve">V49</t>
  </si>
  <si>
    <t xml:space="preserve">Paytm QR; next-day settlement to separate current account</t>
  </si>
  <si>
    <t xml:space="preserve">Separate settlement and operating accounts</t>
  </si>
  <si>
    <t xml:space="preserve">Strongest direct test of the settlement/account hypothesis</t>
  </si>
  <si>
    <t xml:space="preserve">V50</t>
  </si>
  <si>
    <t xml:space="preserve">Genuine exploratory merchant conversations</t>
  </si>
  <si>
    <t xml:space="preserve">GENUINE, EXPLORATORY, SMALL SAMPLE. Business types as reported by the team; notes and verbatims not yet supplied to the build. Do not treat as validation (that is Validation_Log).</t>
  </si>
  <si>
    <t xml:space="preserve">#</t>
  </si>
  <si>
    <t xml:space="preserve">Date</t>
  </si>
  <si>
    <t xml:space="preserve">Business type</t>
  </si>
  <si>
    <t xml:space="preserve">Key points</t>
  </si>
  <si>
    <t xml:space="preserve">Verbatim (original language)</t>
  </si>
  <si>
    <t xml:space="preserve">Status</t>
  </si>
  <si>
    <t xml:space="preserve">[notes to be added by team]</t>
  </si>
  <si>
    <t xml:space="preserve">[verbatim to be added]</t>
  </si>
  <si>
    <t xml:space="preserve">Reported; notes pending</t>
  </si>
  <si>
    <t xml:space="preserve">FMCG retailer</t>
  </si>
  <si>
    <t xml:space="preserve">Tractor dealer</t>
  </si>
  <si>
    <t xml:space="preserve">Merchant who pays vendors by UPI routinely</t>
  </si>
  <si>
    <t xml:space="preserve">Solution validation log (≥20 target users)</t>
  </si>
  <si>
    <t xml:space="preserve">EMPTY: no validation data has been supplied. Fill one row per tested merchant from row 19; summary recalculates; then run fill_validation.py to update slide 10 and re-export the PDF.</t>
  </si>
  <si>
    <t xml:space="preserve">Merchants tested (n)</t>
  </si>
  <si>
    <t xml:space="preserve">Meets the ≥20 requirement?</t>
  </si>
  <si>
    <t xml:space="preserve">Completed the prototype task unaided</t>
  </si>
  <si>
    <t xml:space="preserve">Named a supplier payment they would move</t>
  </si>
  <si>
    <t xml:space="preserve">Agreed to a follow-up trial</t>
  </si>
  <si>
    <t xml:space="preserve">Enabled instant settlement in session</t>
  </si>
  <si>
    <t xml:space="preserve">Made at least one commitment</t>
  </si>
  <si>
    <t xml:space="preserve">Used instant settlement in last 30 days</t>
  </si>
  <si>
    <t xml:space="preserve">Settlement: same day / next day / separate account</t>
  </si>
  <si>
    <t xml:space="preserve">Average of last 5 payments they would move</t>
  </si>
  <si>
    <t xml:space="preserve">Share of answers observed (not stated)</t>
  </si>
  <si>
    <t xml:space="preserve">Top objection counts: Trust / Habit / Supplier / Staff / Account / Other</t>
  </si>
  <si>
    <t xml:space="preserve">EXAMPLE (not data)</t>
  </si>
  <si>
    <t xml:space="preserve">12 Oct 2026</t>
  </si>
  <si>
    <t xml:space="preserve">Prototype walkthrough</t>
  </si>
  <si>
    <t xml:space="preserve">Will pay Monday's cable order via Settle &amp; Pay</t>
  </si>
  <si>
    <t xml:space="preserve">Agar collection se seedha jaata hai toh theek hai</t>
  </si>
  <si>
    <t xml:space="preserve">Observed</t>
  </si>
  <si>
    <t xml:space="preserve">ID</t>
  </si>
  <si>
    <t xml:space="preserve">Paytm collector (Y/N)</t>
  </si>
  <si>
    <t xml:space="preserve">Settlement profile (Same day / Next day / Separate account)</t>
  </si>
  <si>
    <t xml:space="preserve">Vendor UPI payments per week</t>
  </si>
  <si>
    <t xml:space="preserve">Current app</t>
  </si>
  <si>
    <t xml:space="preserve">Method (Concept test / Prototype walkthrough / Real-world trial)</t>
  </si>
  <si>
    <t xml:space="preserve">Task completed unaided (Y/N)</t>
  </si>
  <si>
    <t xml:space="preserve">Commitment made (text)</t>
  </si>
  <si>
    <t xml:space="preserve">Named a supplier payment to move (Y/N)</t>
  </si>
  <si>
    <t xml:space="preserve">Agreed to follow-up trial (Y/N)</t>
  </si>
  <si>
    <t xml:space="preserve">Enabled instant settlement in session (Y/N)</t>
  </si>
  <si>
    <t xml:space="preserve">Used instant settlement in last 30 days (Y/N)</t>
  </si>
  <si>
    <t xml:space="preserve">Top objection (Trust / Habit / Supplier / Staff / Account set-up / Other)</t>
  </si>
  <si>
    <t xml:space="preserve">Verbatim</t>
  </si>
  <si>
    <t xml:space="preserve">Evidence type (Observed / Stated)</t>
  </si>
  <si>
    <t xml:space="preserve">Of last 5 payments, would move (0–5)</t>
  </si>
  <si>
    <t xml:space="preserve">Segment rules and group counts (synthetic hypothesis)</t>
  </si>
  <si>
    <t xml:space="preserve">All counts are COUNTIFS over VOC_Synthetic. SYNTHETIC: illustrates the hypothesis, not market prevalence.</t>
  </si>
  <si>
    <t xml:space="preserve">Group 1 inclusion rules (all must hold)</t>
  </si>
  <si>
    <t xml:space="preserve">1. Regular Paytm collector (Paytm QR or Soundbox)</t>
  </si>
  <si>
    <t xml:space="preserve">2. Next-day settlement, or settlement into a separate current account</t>
  </si>
  <si>
    <t xml:space="preserve">3. Pays vendors by UPI at least weekly</t>
  </si>
  <si>
    <t xml:space="preserve">4. Payment app chosen by owner or manager</t>
  </si>
  <si>
    <t xml:space="preserve">5. States a timing, transfer or staff-control friction</t>
  </si>
  <si>
    <t xml:space="preserve">Group</t>
  </si>
  <si>
    <t xml:space="preserve">Rule</t>
  </si>
  <si>
    <t xml:space="preserve">Merchants</t>
  </si>
  <si>
    <t xml:space="preserve">Rows</t>
  </si>
  <si>
    <t xml:space="preserve">High potential: all five rules</t>
  </si>
  <si>
    <t xml:space="preserve">V07 V09 V14 V16 V20 V24 V25 V29 V32 V33 V43 V44 V45 V47 V49 V50</t>
  </si>
  <si>
    <t xml:space="preserve">Paytm collector not in Group 1 or 3: next-day with no friction (7) or same-day with a friction (9, of which 7 contradictory)</t>
  </si>
  <si>
    <t xml:space="preserve">V02 V04 V08 V37 V38 V41 V46 V10 V11 V12 V17 V19 V21 V30 V35 V36</t>
  </si>
  <si>
    <t xml:space="preserve">No or partial Paytm collection (8); accountant chooses app (2); same-day with no friction (8)</t>
  </si>
  <si>
    <t xml:space="preserve">All other rows</t>
  </si>
  <si>
    <t xml:space="preserve">Total</t>
  </si>
  <si>
    <t xml:space="preserve">Settlement profile (Paytm collectors)</t>
  </si>
  <si>
    <t xml:space="preserve">Note</t>
  </si>
  <si>
    <t xml:space="preserve">Regular Paytm collectors</t>
  </si>
  <si>
    <t xml:space="preserve">Model proxy</t>
  </si>
  <si>
    <t xml:space="preserve">Definition</t>
  </si>
  <si>
    <t xml:space="preserve">Value</t>
  </si>
  <si>
    <t xml:space="preserve">Next-day or separate-account merchants</t>
  </si>
  <si>
    <t xml:space="preserve">Next day + next day, separate account</t>
  </si>
  <si>
    <t xml:space="preserve">Settlement share</t>
  </si>
  <si>
    <t xml:space="preserve">Next-day or separate ÷ regular collectors (23 of 42)</t>
  </si>
  <si>
    <t xml:space="preserve">Synthetic hypothesis; replace with Paytm settlement data</t>
  </si>
  <si>
    <t xml:space="preserve">Group 1 merchants</t>
  </si>
  <si>
    <t xml:space="preserve">Next-day or separate with a stated friction</t>
  </si>
  <si>
    <t xml:space="preserve">Friction share</t>
  </si>
  <si>
    <t xml:space="preserve">Group 1 ÷ next-day or separate (16 of 23)</t>
  </si>
  <si>
    <t xml:space="preserve">Group 1 yes</t>
  </si>
  <si>
    <t xml:space="preserve">Stated 'would switch: yes'</t>
  </si>
  <si>
    <t xml:space="preserve">Group 1 maybe</t>
  </si>
  <si>
    <t xml:space="preserve">Stated 'would switch: maybe'</t>
  </si>
  <si>
    <t xml:space="preserve">Group 1 never or rarely pay via Paytm</t>
  </si>
  <si>
    <t xml:space="preserve">Paytm outgoing usage = Never or Rarely</t>
  </si>
  <si>
    <t xml:space="preserve">Not already a Paytm payer</t>
  </si>
  <si>
    <t xml:space="preserve">Never or rarely ÷ Group 1 (9 of 16)</t>
  </si>
  <si>
    <t xml:space="preserve">Same-day merchants saying 'no'</t>
  </si>
  <si>
    <t xml:space="preserve">Of 19 same-day collectors</t>
  </si>
  <si>
    <t xml:space="preserve">Pay vendors by UPI at least 2–3 times a week</t>
  </si>
  <si>
    <t xml:space="preserve">Of 50 rows</t>
  </si>
  <si>
    <t xml:space="preserve">Contradictory rows</t>
  </si>
  <si>
    <t xml:space="preserve">Flagged V10, V11, V12, V17, V19, V23, V34, V35, V36, V40, V42</t>
  </si>
  <si>
    <t xml:space="preserve">Audit</t>
  </si>
  <si>
    <t xml:space="preserve">Contradictory rows inside Group 1</t>
  </si>
  <si>
    <t xml:space="preserve">Group 1 is unaffected by the clean-sample sensitivity</t>
  </si>
  <si>
    <t xml:space="preserve">2×2 quadrant (slide 5)</t>
  </si>
  <si>
    <t xml:space="preserve">V02 V04 V08 V37 V38 V41 V46</t>
  </si>
  <si>
    <t xml:space="preserve">V10 V11 V12 V17 V19 V21 V30 V35 V36</t>
  </si>
  <si>
    <t xml:space="preserve">V01 V03 V05 V06 V22 V28 V34 V42</t>
  </si>
  <si>
    <t xml:space="preserve">V18 V27</t>
  </si>
  <si>
    <t xml:space="preserve">V13 V15 V23 V26 V31 V39 V40 V48</t>
  </si>
  <si>
    <t xml:space="preserve">Incremental growth funnel: cautious / base / upside</t>
  </si>
  <si>
    <t xml:space="preserve">PROJECTION, NOT FORECAST. Run-rate at the end of year one. Every rate is an assumption or a synthetic proxy, to be replaced by Paytm data and pilot results.</t>
  </si>
  <si>
    <t xml:space="preserve">Driver</t>
  </si>
  <si>
    <t xml:space="preserve">Cautious</t>
  </si>
  <si>
    <t xml:space="preserve">Base</t>
  </si>
  <si>
    <t xml:space="preserve">Upside</t>
  </si>
  <si>
    <t xml:space="preserve">Source / status</t>
  </si>
  <si>
    <t xml:space="preserve">Paytm device merchants</t>
  </si>
  <si>
    <t xml:space="preserve">Fact: Paytm Q1 FY27 release (S1)</t>
  </si>
  <si>
    <t xml:space="preserve">Share paying vendors by UPI at least weekly</t>
  </si>
  <si>
    <t xml:space="preserve">Assumption (dataset pre-selected for UPI payers)</t>
  </si>
  <si>
    <t xml:space="preserve">Share settled next day or into a separate account</t>
  </si>
  <si>
    <t xml:space="preserve">Synthetic proxy: 23 of 42 collectors; replace with Paytm settlement data</t>
  </si>
  <si>
    <t xml:space="preserve">Share with a stated friction</t>
  </si>
  <si>
    <t xml:space="preserve">Synthetic proxy: 16 of 23</t>
  </si>
  <si>
    <t xml:space="preserve">Eligible merchants</t>
  </si>
  <si>
    <t xml:space="preserve">Result</t>
  </si>
  <si>
    <t xml:space="preserve">Share exposed in year one (field force + in-app)</t>
  </si>
  <si>
    <t xml:space="preserve">Assumption</t>
  </si>
  <si>
    <t xml:space="preserve">Exposed merchants</t>
  </si>
  <si>
    <t xml:space="preserve">Conversion of stated 'yes'</t>
  </si>
  <si>
    <t xml:space="preserve">Conversion of stated 'maybe'</t>
  </si>
  <si>
    <t xml:space="preserve">Group 1 'yes' count</t>
  </si>
  <si>
    <t xml:space="preserve">Synthetic (7 of 16)</t>
  </si>
  <si>
    <t xml:space="preserve">Group 1 'maybe' count</t>
  </si>
  <si>
    <t xml:space="preserve">Synthetic (9 of 16)</t>
  </si>
  <si>
    <t xml:space="preserve">Synthetic</t>
  </si>
  <si>
    <t xml:space="preserve">First-time activation rate</t>
  </si>
  <si>
    <t xml:space="preserve">Assumption applied to dataset propensity</t>
  </si>
  <si>
    <t xml:space="preserve">Activated merchants</t>
  </si>
  <si>
    <t xml:space="preserve">Repeat rate (2+ payments in each of months 2 and 3)</t>
  </si>
  <si>
    <t xml:space="preserve">Repeat merchants</t>
  </si>
  <si>
    <t xml:space="preserve">Synthetic proxy: 9 of 16 Group 1 never or rarely pay via Paytm</t>
  </si>
  <si>
    <t xml:space="preserve">Incremental MTU</t>
  </si>
  <si>
    <t xml:space="preserve">Weeks per month</t>
  </si>
  <si>
    <t xml:space="preserve">Convention</t>
  </si>
  <si>
    <t xml:space="preserve">Vendor UPI payments per merchant per month</t>
  </si>
  <si>
    <t xml:space="preserve">Synthetic: midpoints of 2–3, 3–5, 4–6 a week and daily (26 a month), equally weighted</t>
  </si>
  <si>
    <t xml:space="preserve">Share of those payments shifted to Paytm</t>
  </si>
  <si>
    <t xml:space="preserve">Incremental Paytm business payments a month</t>
  </si>
  <si>
    <t xml:space="preserve">Average vendor payment (₹)</t>
  </si>
  <si>
    <t xml:space="preserve">Baseline already on Paytm (share of shifted value)</t>
  </si>
  <si>
    <t xml:space="preserve">Assumption. Occasional Paytm payers' shifted payments are assumed mostly new; verify in pilot</t>
  </si>
  <si>
    <t xml:space="preserve">Incremental business UPI GMV a month (₹)</t>
  </si>
  <si>
    <t xml:space="preserve">Incremental GMV a month (₹ crore)</t>
  </si>
  <si>
    <t xml:space="preserve">Annual run-rate (₹ crore)</t>
  </si>
  <si>
    <t xml:space="preserve">Result: deck uses ≈₹240 / ≈₹2,660 / ≈₹19,400 crore (3 significant figures)</t>
  </si>
  <si>
    <t xml:space="preserve">Incremental MTU per 1,000 exposed</t>
  </si>
  <si>
    <t xml:space="preserve">Main metric: increase in Paytm's share of segment UPI GMV</t>
  </si>
  <si>
    <t xml:space="preserve">PROJECTION. The segment pool is the addressable outgoing vendor-UPI value, NOT incremental Paytm GMV.</t>
  </si>
  <si>
    <t xml:space="preserve">Item</t>
  </si>
  <si>
    <t xml:space="preserve">Formula / note</t>
  </si>
  <si>
    <t xml:space="preserve">Funnel_Model row 9</t>
  </si>
  <si>
    <t xml:space="preserve">Funnel_Model row 11</t>
  </si>
  <si>
    <t xml:space="preserve">Funnel_Model row 24</t>
  </si>
  <si>
    <t xml:space="preserve">Funnel_Model row 27</t>
  </si>
  <si>
    <t xml:space="preserve">Segment pool a month (₹ crore)</t>
  </si>
  <si>
    <t xml:space="preserve">Eligible × payments × ticket: addressable, not incremental</t>
  </si>
  <si>
    <t xml:space="preserve">Segment pool a year (₹ lakh crore)</t>
  </si>
  <si>
    <t xml:space="preserve">× 12</t>
  </si>
  <si>
    <t xml:space="preserve">Exposed-cohort pool a month (₹ crore)</t>
  </si>
  <si>
    <t xml:space="preserve">Exposed × payments × ticket</t>
  </si>
  <si>
    <t xml:space="preserve">Incremental Paytm GMV a month (₹ crore)</t>
  </si>
  <si>
    <t xml:space="preserve">Funnel_Model row 30</t>
  </si>
  <si>
    <t xml:space="preserve">Share increase across exposed cohort (pts)</t>
  </si>
  <si>
    <t xml:space="preserve">Incremental ÷ exposed pool</t>
  </si>
  <si>
    <t xml:space="preserve">Share increase across whole eligible segment (pts)</t>
  </si>
  <si>
    <t xml:space="preserve">Incremental ÷ segment pool, end of year one</t>
  </si>
  <si>
    <t xml:space="preserve">Expected intention-to-treat lift in pilot (pts, before overlap)</t>
  </si>
  <si>
    <t xml:space="preserve">Activation × repeat × share shifted; pilot target +4 to +6 pts</t>
  </si>
  <si>
    <t xml:space="preserve">Expected intention-to-treat lift in pilot (pts, net of 15% overlap)</t>
  </si>
  <si>
    <t xml:space="preserve">As above × (1 − baseline overlap)</t>
  </si>
  <si>
    <t xml:space="preserve">Early indicator</t>
  </si>
  <si>
    <t xml:space="preserve">Target</t>
  </si>
  <si>
    <t xml:space="preserve">Activation within 30 days of exposure</t>
  </si>
  <si>
    <t xml:space="preserve">15–25%</t>
  </si>
  <si>
    <t xml:space="preserve">Hypothesis, to validate in pilot</t>
  </si>
  <si>
    <t xml:space="preserve">Repeat: 2+ payments in each of months 2 and 3</t>
  </si>
  <si>
    <t xml:space="preserve">50%</t>
  </si>
  <si>
    <t xml:space="preserve">Settle &amp; Pay payments per repeat merchant per month</t>
  </si>
  <si>
    <t xml:space="preserve">6–8</t>
  </si>
  <si>
    <t xml:space="preserve">Habit guard: share of payments made when no settlement gap existed</t>
  </si>
  <si>
    <t xml:space="preserve">≥30%</t>
  </si>
  <si>
    <t xml:space="preserve">≈65 (base)</t>
  </si>
  <si>
    <t xml:space="preserve">Wrong-payee payments per 1,000</t>
  </si>
  <si>
    <t xml:space="preserve">Near zero (commitment)</t>
  </si>
  <si>
    <t xml:space="preserve">Unit costs: per incremental MTU and per ₹ of incremental GMV (base case)</t>
  </si>
  <si>
    <t xml:space="preserve">Every input is a labelled team assumption, not a Paytm figure. No cashback anywhere in the design.</t>
  </si>
  <si>
    <t xml:space="preserve">Field activation visit cost per exposed merchant (₹)</t>
  </si>
  <si>
    <t xml:space="preserve">Assumption: Soundbox field force marginal cost (range ₹150–300)</t>
  </si>
  <si>
    <t xml:space="preserve">Visit cost, low (₹)</t>
  </si>
  <si>
    <t xml:space="preserve">Visit cost, high (₹)</t>
  </si>
  <si>
    <t xml:space="preserve">Float rate (annual)</t>
  </si>
  <si>
    <t xml:space="preserve">Assumption: cost of releasing funds early</t>
  </si>
  <si>
    <t xml:space="preserve">Days settled early</t>
  </si>
  <si>
    <t xml:space="preserve">Link</t>
  </si>
  <si>
    <t xml:space="preserve">Free early settlement cost per payment (₹)</t>
  </si>
  <si>
    <t xml:space="preserve">Ceiling: settling already-received funds mainly forgoes float income</t>
  </si>
  <si>
    <t xml:space="preserve">In-app prompts, notifications, WhatsApp (₹ per merchant)</t>
  </si>
  <si>
    <t xml:space="preserve">Assumption: ≈₹0 marginal</t>
  </si>
  <si>
    <t xml:space="preserve">Pilot build: prompt, hand-off, fee waiver (₹)</t>
  </si>
  <si>
    <t xml:space="preserve">Assumption: small build ≈₹0.5 crore, one-time</t>
  </si>
  <si>
    <t xml:space="preserve">Full in-app payer flow (₹)</t>
  </si>
  <si>
    <t xml:space="preserve">Assumption: medium-large build ≈₹5 crore, only after the scale gate</t>
  </si>
  <si>
    <t xml:space="preserve">Incremental payments a year</t>
  </si>
  <si>
    <t xml:space="preserve">Run-rate × 12</t>
  </si>
  <si>
    <t xml:space="preserve">Incremental GMV a year (₹)</t>
  </si>
  <si>
    <t xml:space="preserve">Annual run-rate</t>
  </si>
  <si>
    <t xml:space="preserve">Field visit cost (₹)</t>
  </si>
  <si>
    <t xml:space="preserve">Visit cost × exposed</t>
  </si>
  <si>
    <t xml:space="preserve">Messaging cost (₹)</t>
  </si>
  <si>
    <t xml:space="preserve">Free settlement cost a year (₹)</t>
  </si>
  <si>
    <t xml:space="preserve">Cost per payment × payments</t>
  </si>
  <si>
    <t xml:space="preserve">Total year-one cost, without build (₹)</t>
  </si>
  <si>
    <t xml:space="preserve">Total year-one cost, with build (₹)</t>
  </si>
  <si>
    <t xml:space="preserve">Cost per incremental MTU, without build (₹)</t>
  </si>
  <si>
    <t xml:space="preserve">Cost per incremental MTU, with build (₹)</t>
  </si>
  <si>
    <t xml:space="preserve">Cost per ₹ of incremental GMV, without build (₹)</t>
  </si>
  <si>
    <t xml:space="preserve">Year-one cost ÷ annual run-rate GMV</t>
  </si>
  <si>
    <t xml:space="preserve">Cost per ₹ of incremental GMV, with build (₹)</t>
  </si>
  <si>
    <t xml:space="preserve">Cost per ₹100 of incremental GMV, without build (₹)</t>
  </si>
  <si>
    <t xml:space="preserve">Cost per ₹100 of incremental GMV, with build (₹)</t>
  </si>
  <si>
    <t xml:space="preserve">Ramp-adjusted cost per ₹, with build (year-one GMV = 50% of run-rate)</t>
  </si>
  <si>
    <t xml:space="preserve">Sensitivity on the denominator</t>
  </si>
  <si>
    <t xml:space="preserve">Pilot metric: visit cost per incremental MTU (₹200 × 1,000 ÷ MTU per 1,000)</t>
  </si>
  <si>
    <t xml:space="preserve">Cost per incremental MTU at visit cost ₹150, without build (₹)</t>
  </si>
  <si>
    <t xml:space="preserve">Cost per incremental MTU at visit cost ₹300, without build (₹)</t>
  </si>
  <si>
    <t xml:space="preserve">Durability once incentives stop</t>
  </si>
  <si>
    <t xml:space="preserve">No cashback in the design. The only economic element is free settlement when it funds a supplier payment: permanent product pricing, not a promotion.</t>
  </si>
  <si>
    <t xml:space="preserve">Durability test (a): repeat use after field-activation contact ends (days 31–90).</t>
  </si>
  <si>
    <t xml:space="preserve">Durability test (b): habit-guard share, i.e. usage when no settlement benefit applies.</t>
  </si>
  <si>
    <t xml:space="preserve">Durability test (c): optional sub-arm where free settlement reverts to standard pricing for days 61–90, to measure price sensitivity.</t>
  </si>
  <si>
    <t xml:space="preserve">Sensitivity: the three assumptions that move the answer most (base case)</t>
  </si>
  <si>
    <t xml:space="preserve">PROJECTION. Each row recomputes the full chain with one driver changed. The model is multiplicative, so halving any of the three halves every output.</t>
  </si>
  <si>
    <t xml:space="preserve">Habit-guard target (bound for the gap-days floor)</t>
  </si>
  <si>
    <t xml:space="preserve">Scenario</t>
  </si>
  <si>
    <t xml:space="preserve">Activation</t>
  </si>
  <si>
    <t xml:space="preserve">Repeat</t>
  </si>
  <si>
    <t xml:space="preserve">Shifted-payment factor</t>
  </si>
  <si>
    <t xml:space="preserve">Eligible</t>
  </si>
  <si>
    <t xml:space="preserve">Annual GMV (₹ crore)</t>
  </si>
  <si>
    <t xml:space="preserve">vs base</t>
  </si>
  <si>
    <t xml:space="preserve">Base case</t>
  </si>
  <si>
    <t xml:space="preserve">Settlement share halved</t>
  </si>
  <si>
    <t xml:space="preserve">Activation halved</t>
  </si>
  <si>
    <t xml:space="preserve">Repeat rate halved</t>
  </si>
  <si>
    <t xml:space="preserve">Gap-days-only floor (base × (1 − habit guard))</t>
  </si>
  <si>
    <t xml:space="preserve">Share of payments shifted halved (GMV only)</t>
  </si>
  <si>
    <t xml:space="preserve">Note: the gap-days-only floor assumes only payments made when a settlement gap exists move to Paytm; the pilot's habit-guard target (≥30% of payments with no gap) bounds the complement. MTU is unchanged in the floor and shift-share rows because the same merchants stay active.</t>
  </si>
  <si>
    <t xml:space="preserve">Design, metrics and decision gates</t>
  </si>
  <si>
    <t xml:space="preserve">Element</t>
  </si>
  <si>
    <t xml:space="preserve">Content</t>
  </si>
  <si>
    <t xml:space="preserve">Days 0–14</t>
  </si>
  <si>
    <t xml:space="preserve">Pull settlement data; build the eligible list (next-day or separate-account settlement; vendor-payment pattern where visible); randomise by field-agent territory; pull a 60-day baseline from Paytm data; recruit the Account Aggregator share panel; ship the light build (S): collections-screen prompt, existing instant settlement with a fee waiver when it funds a supplier payment, hand-off to Paytm UPI with the supplier prefilled</t>
  </si>
  <si>
    <t xml:space="preserve">Days 15–90</t>
  </si>
  <si>
    <t xml:space="preserve">Live for treatment. Arm A: Settle &amp; Pay (light build) for all treatment merchants. Arm B: plus staff access for multi-payer shops. Field activation visits during days 15–30</t>
  </si>
  <si>
    <t xml:space="preserve">Cohort and control</t>
  </si>
  <si>
    <t xml:space="preserve">≈3,000 treatment and ≈3,000 control merchants in two cities with dense Soundbox coverage; control gets no prompt and no fee waiver</t>
  </si>
  <si>
    <t xml:space="preserve">Baseline</t>
  </si>
  <si>
    <t xml:space="preserve">60-day pre-period outgoing Paytm payments from Paytm data; Account Aggregator bank-statement panel of ≈300 consented merchants per arm for total business UPI</t>
  </si>
  <si>
    <t xml:space="preserve">Main metric</t>
  </si>
  <si>
    <t xml:space="preserve">Intention-to-treat change in Paytm's share of business UPI value, treatment vs control (difference-in-differences); target +4 to +6 pts</t>
  </si>
  <si>
    <t xml:space="preserve">Early indicators</t>
  </si>
  <si>
    <t xml:space="preserve">Activation within 30 days (15–25%); repeat: 2+ payments in each of months 2 and 3 (50%); 6–8 payments per repeat merchant a month; habit guard ≥30%; ≈65 incremental MTU per 1,000 exposed</t>
  </si>
  <si>
    <t xml:space="preserve">Durability</t>
  </si>
  <si>
    <t xml:space="preserve">(a) repeat after field contact ends, days 31–90; (b) habit-guard share; (c) optional sub-arm: free settlement reverts to standard pricing, days 61–90</t>
  </si>
  <si>
    <t xml:space="preserve">Safety</t>
  </si>
  <si>
    <t xml:space="preserve">Wrong-payee payments and support complaints per 1,000 payments: near zero (commitment)</t>
  </si>
  <si>
    <t xml:space="preserve">Scale if</t>
  </si>
  <si>
    <t xml:space="preserve">Activation ≥15%, repeat ≥40% and a statistically significant intention-to-treat share lift</t>
  </si>
  <si>
    <t xml:space="preserve">Revise if</t>
  </si>
  <si>
    <t xml:space="preserve">Activation fine but habit guard &lt;15% (used only for settlement gaps)</t>
  </si>
  <si>
    <t xml:space="preserve">Stop if</t>
  </si>
  <si>
    <t xml:space="preserve">Activation &lt;8%</t>
  </si>
  <si>
    <t xml:space="preserve">How to scale</t>
  </si>
  <si>
    <t xml:space="preserve">Build the full in-app payer flow (M/L); extend to all eligible merchants found through settlement data; Soundbox field-force waves by city; WhatsApp and in-app messaging; settlement-bank partnerships for current-account payers</t>
  </si>
  <si>
    <t xml:space="preserve">Owners are proposed functions, not confirmed people.</t>
  </si>
  <si>
    <t xml:space="preserve">Mechanic / dependency</t>
  </si>
  <si>
    <t xml:space="preserve">What public sources indicate</t>
  </si>
  <si>
    <t xml:space="preserve">Still to confirm</t>
  </si>
  <si>
    <t xml:space="preserve">Build effort</t>
  </si>
  <si>
    <t xml:space="preserve">Releasing today's collections early</t>
  </si>
  <si>
    <t xml:space="preserve">Paytm for Business already offers manual instant settlement; PhonePe offers Settle Now; RBI 2025 rules let the merchant agreement set settlement timing (S3, S6, S10)</t>
  </si>
  <si>
    <t xml:space="preserve">Credit speed to each partner bank; daily limits; whether merchant agreements need updating</t>
  </si>
  <si>
    <t xml:space="preserve">Settlement, treasury, compliance</t>
  </si>
  <si>
    <t xml:space="preserve">S</t>
  </si>
  <si>
    <t xml:space="preserve">Paying the supplier directly from collections</t>
  </si>
  <si>
    <t xml:space="preserve">Not allowed for most target merchants: third-party payouts need ₹40 lakh+ turnover and must go to the customer-facing payee (S10, S11)</t>
  </si>
  <si>
    <t xml:space="preserve">None: the design settles to the merchant's own account first; compliance to confirm the reading</t>
  </si>
  <si>
    <t xml:space="preserve">Compliance</t>
  </si>
  <si>
    <t xml:space="preserve">—</t>
  </si>
  <si>
    <t xml:space="preserve">Early release versus credit</t>
  </si>
  <si>
    <t xml:space="preserve">Settling only collections already received avoids pre-funding; summaries of 2025 rules don't classify pre-funded early settlement (S15)</t>
  </si>
  <si>
    <t xml:space="preserve">Formal compliance view; whether any pre-funding is ever needed</t>
  </si>
  <si>
    <t xml:space="preserve">Compliance, legal</t>
  </si>
  <si>
    <t xml:space="preserve">One authorisation</t>
  </si>
  <si>
    <t xml:space="preserve">Settlement needs no UPI PIN; only the supplier payment does</t>
  </si>
  <si>
    <t xml:space="preserve">Settlement-to-credit time by bank; the waiting experience</t>
  </si>
  <si>
    <t xml:space="preserve">Payments engineering</t>
  </si>
  <si>
    <t xml:space="preserve">M</t>
  </si>
  <si>
    <t xml:space="preserve">Paying from Paytm for Business</t>
  </si>
  <si>
    <t xml:space="preserve">UPI works on current accounts (S14); the app lists no payer feature today (S3)</t>
  </si>
  <si>
    <t xml:space="preserve">Build the payer flow in-app, or keep the hand-off to Paytm UPI</t>
  </si>
  <si>
    <t xml:space="preserve">Engineering, partner banks</t>
  </si>
  <si>
    <t xml:space="preserve">S hand-off / M–L in-app</t>
  </si>
  <si>
    <t xml:space="preserve">Free settlement when it funds a supplier</t>
  </si>
  <si>
    <t xml:space="preserve">Competitor charges ₹1–3 a request, implying low unit cost (S6)</t>
  </si>
  <si>
    <t xml:space="preserve">Whether conditional free pricing is acceptable; cost at scale</t>
  </si>
  <si>
    <t xml:space="preserve">Compliance, pricing</t>
  </si>
  <si>
    <t xml:space="preserve">Staff access (arm B)</t>
  </si>
  <si>
    <t xml:space="preserve">Not researched publicly</t>
  </si>
  <si>
    <t xml:space="preserve">Whether UPI delegated-payment limits fit vendor payments, or an approval workflow is needed</t>
  </si>
  <si>
    <t xml:space="preserve">Product, NPCI rules</t>
  </si>
  <si>
    <t xml:space="preserve">Manual instant settlement for all device merchants (Phase 0)</t>
  </si>
  <si>
    <t xml:space="preserve">Feature exists in the app (S3); coverage across device merchants not public</t>
  </si>
  <si>
    <t xml:space="preserve">Is it available to every eligible device merchant today?</t>
  </si>
  <si>
    <t xml:space="preserve">Merchant product</t>
  </si>
  <si>
    <t xml:space="preserve">Segment size</t>
  </si>
  <si>
    <t xml:space="preserve">Not public; Paytm help pages give different timings (S4, S5)</t>
  </si>
  <si>
    <t xml:space="preserve">Share of device merchants on next-day or separate-account settlement; share already using manual settlement</t>
  </si>
  <si>
    <t xml:space="preserve">Data team</t>
  </si>
  <si>
    <t xml:space="preserve">Risk</t>
  </si>
  <si>
    <t xml:space="preserve">Signal</t>
  </si>
  <si>
    <t xml:space="preserve">Mitigation</t>
  </si>
  <si>
    <t xml:space="preserve">Most Paytm merchants already settle same day into the account they pay from</t>
  </si>
  <si>
    <t xml:space="preserve">Settlement data shows a small next-day / separate-account share</t>
  </si>
  <si>
    <t xml:space="preserve">Size it in days 0–14 before launch; shrink the target; lead with staff access for multi-payer shops</t>
  </si>
  <si>
    <t xml:space="preserve">Habit wins even with the step removed</t>
  </si>
  <si>
    <t xml:space="preserve">Low habit-guard share; activation without repeat</t>
  </si>
  <si>
    <t xml:space="preserve">Morning prompt on yesterday's collections; target Group 1 only; 'revise' gate if habit guard &lt;15%</t>
  </si>
  <si>
    <t xml:space="preserve">PhonePe responds</t>
  </si>
  <si>
    <t xml:space="preserve">Adds supplier payment to Settle Now, or makes it free, for its own merchants</t>
  </si>
  <si>
    <t xml:space="preserve">Expected within months; it can't reach merchants whose collections Paytm handles; move first and lock in the habit</t>
  </si>
  <si>
    <t xml:space="preserve">The friction is already solved</t>
  </si>
  <si>
    <t xml:space="preserve">Many eligible merchants already use manual instant settlement</t>
  </si>
  <si>
    <t xml:space="preserve">Phase 0 measures it first; lead with one flow instead of two apps, and with staff access</t>
  </si>
  <si>
    <t xml:space="preserve">Compliance treats free conditional settlement or early release differently</t>
  </si>
  <si>
    <t xml:space="preserve">Compliance opinion before pilot</t>
  </si>
  <si>
    <t xml:space="preserve">Settle only already-received collections; fallback: standard-priced settlement plus hand-off</t>
  </si>
  <si>
    <t xml:space="preserve">Early-release cost</t>
  </si>
  <si>
    <t xml:space="preserve">≈₹0.75 of float per ₹2,500 payment settled a day early (ceiling)</t>
  </si>
  <si>
    <t xml:space="preserve">Justify against measured retention and GMV lift; settle exact amounts only</t>
  </si>
  <si>
    <t xml:space="preserve">Trust in Paytm after 2024</t>
  </si>
  <si>
    <t xml:space="preserve">Drop-off at the payment screen</t>
  </si>
  <si>
    <t xml:space="preserve">Show the source bank account on every payment screen; money never sits with Paytm</t>
  </si>
  <si>
    <t xml:space="preserve">Dataset limitations</t>
  </si>
  <si>
    <t xml:space="preserve">Synthetic data; 11 contradictory rows; repeated quotes</t>
  </si>
  <si>
    <t xml:space="preserve">All proxy rates replaced by Paytm data and pilot results before any scale decision</t>
  </si>
  <si>
    <t xml:space="preserve">Access date for web sources: 9 Oct 2026. Verification status as of build.</t>
  </si>
  <si>
    <t xml:space="preserve">Source</t>
  </si>
  <si>
    <t xml:space="preserve">URL</t>
  </si>
  <si>
    <t xml:space="preserve">Used for</t>
  </si>
  <si>
    <t xml:space="preserve">Verification status</t>
  </si>
  <si>
    <t xml:space="preserve">S1</t>
  </si>
  <si>
    <t xml:space="preserve">Paytm Q1 FY27 results release (Paytm investor relations blog)</t>
  </si>
  <si>
    <t xml:space="preserve">https://paytm.com/blog/investor-relations/paytm-q1-fy27-results-revenue-grows-28-to-2448-crore-highest-ever-quarterly-ebitda-at-203-crore/</t>
  </si>
  <si>
    <t xml:space="preserve">1.57 crore merchants paying for Paytm payment devices (quarter to June 2026)</t>
  </si>
  <si>
    <t xml:space="preserve">Verified via web search, 9 Oct 2026</t>
  </si>
  <si>
    <t xml:space="preserve">S2</t>
  </si>
  <si>
    <t xml:space="preserve">NPCI UPI app-wise statistics, August 2026 (reported by StartupTalky)</t>
  </si>
  <si>
    <t xml:space="preserve">https://startuptalky.com/upi-transactions-september-2026/</t>
  </si>
  <si>
    <t xml:space="preserve">App-wise UPI volume share: Paytm 8.03%, PhonePe 45.64%, Google Pay 32.26% (value: 6.87% / 47.82% / 33.78%)</t>
  </si>
  <si>
    <t xml:space="preserve">Secondary report of NPCI data; confirm on npci.org.in before submission</t>
  </si>
  <si>
    <t xml:space="preserve">S3</t>
  </si>
  <si>
    <t xml:space="preserve">Paytm for Business app listing (App Store copy; Google Play com.paytm.business)</t>
  </si>
  <si>
    <t xml:space="preserve">https://apps.apple.com/in/app/id1351301966 ; https://play.google.com/store/apps/details?id=com.paytm.business</t>
  </si>
  <si>
    <t xml:space="preserve">'Instant Bank Settlements: select the frequency of the settlements or manually settle'; acceptance, statements, settlements, loans; no vendor-payment feature listed</t>
  </si>
  <si>
    <t xml:space="preserve">Listing text verified via App Store / APK mirror copy; Play page not reachable from build environment</t>
  </si>
  <si>
    <t xml:space="preserve">S4</t>
  </si>
  <si>
    <t xml:space="preserve">Paytm for Business support: how Paytm transfers payments to your bank</t>
  </si>
  <si>
    <t xml:space="preserve">https://paytm.business/support/how-does-paytm-transfer-payments-i-have-received-to-my-bank-account</t>
  </si>
  <si>
    <t xml:space="preserve">'Usually settled to your bank within T+1 days ... may get extended due to bank holidays'</t>
  </si>
  <si>
    <t xml:space="preserve">Verified via web search snippet, 9 Oct 2026</t>
  </si>
  <si>
    <t xml:space="preserve">S5</t>
  </si>
  <si>
    <t xml:space="preserve">Paytm Payments developer docs: settlement processing</t>
  </si>
  <si>
    <t xml:space="preserve">https://www.paytmpayments.com/docs/settlement-processing-in-paytm</t>
  </si>
  <si>
    <t xml:space="preserve">'Typically occurs within a few business hours or at the T+N cycle'</t>
  </si>
  <si>
    <t xml:space="preserve">S6</t>
  </si>
  <si>
    <t xml:space="preserve">PhonePe merchant help: charges for a Settle Now request</t>
  </si>
  <si>
    <t xml:space="preserve">https://cms.phonepe.com/en/mx/merchant-help/settlements/know-more-about-settlements/about-early-settlements/are-there-any-charges-raising-early-settlement-request</t>
  </si>
  <si>
    <t xml:space="preserve">₹1 (₹1–999), ₹2 (₹1,000–24,999), ₹3 (₹25,000–5 lakh) per request, incl. GST; deducted from next settlement</t>
  </si>
  <si>
    <t xml:space="preserve">S7</t>
  </si>
  <si>
    <t xml:space="preserve">PhonePe merchant help: why can't I place a Settle Now request</t>
  </si>
  <si>
    <t xml:space="preserve">https://cms.phonepe.com/en/mx/merchant-help/on-demand-or-early-settlement/why-am-i-not-able-place-settle-now-request</t>
  </si>
  <si>
    <t xml:space="preserve">One request an hour until 11 pm; only selected merchants are eligible</t>
  </si>
  <si>
    <t xml:space="preserve">S8</t>
  </si>
  <si>
    <t xml:space="preserve">PhonePe merchant help: settlement time</t>
  </si>
  <si>
    <t xml:space="preserve">https://cms.phonepe.com/en/mx/merchant-help/settlements/can-i-change-settlement-time/</t>
  </si>
  <si>
    <t xml:space="preserve">Merchants settled by 8 am the next day</t>
  </si>
  <si>
    <t xml:space="preserve">Cited in team solution document; not re-verified</t>
  </si>
  <si>
    <t xml:space="preserve">S9</t>
  </si>
  <si>
    <t xml:space="preserve">RBI press release: Regulation of Payment Aggregators Directions, 2025 (15 Sep 2025)</t>
  </si>
  <si>
    <t xml:space="preserve">https://website.rbi.org.in/web/rbi/-/press-releases/rbi-issues-the-reserve-bank-of-india-regulation-of-payment-aggregators-directions-2025</t>
  </si>
  <si>
    <t xml:space="preserve">Directions issued and effective; supersede 2020/2021 PA-PG guidelines</t>
  </si>
  <si>
    <t xml:space="preserve">Verified via web search; payout clause read from legal summaries, primary text to be confirmed</t>
  </si>
  <si>
    <t xml:space="preserve">S10</t>
  </si>
  <si>
    <t xml:space="preserve">Vinod Kothari Consultants: key highlights of PA Directions 2025</t>
  </si>
  <si>
    <t xml:space="preserve">https://vinodkothari.com/wp-content/uploads/2025/09/Key-Highlights-of-PA-2025-2.pdf</t>
  </si>
  <si>
    <t xml:space="preserve">Third-party payouts only for merchants with turnover above ₹40 lakh, to the payee in the underlying transaction; settlement timeline mutually agreed (T+1 suggestion removed)</t>
  </si>
  <si>
    <t xml:space="preserve">Legal summary, verified via web search, 9 Oct 2026</t>
  </si>
  <si>
    <t xml:space="preserve">S11</t>
  </si>
  <si>
    <t xml:space="preserve">Cyril Amarchand Mangaldas client alert on PA Directions 2025</t>
  </si>
  <si>
    <t xml:space="preserve">https://www.cyrilshroff.com/wp-content/uploads/2025/10/Client-Alert-RBI-Introduces-Consolidated-Framework-for-Payment-Aggregators-3.pdf</t>
  </si>
  <si>
    <t xml:space="preserve">Payment to a third party on merchant directions allowed only for certain merchants</t>
  </si>
  <si>
    <t xml:space="preserve">S12</t>
  </si>
  <si>
    <t xml:space="preserve">AZB &amp; Partners summary of PA Directions 2025</t>
  </si>
  <si>
    <t xml:space="preserve">https://www.azbpartners.com/bank/rbi-issues-consolidated-reserve-bank-of-india-regulation-of-payment-aggregators-directions-2025/</t>
  </si>
  <si>
    <t xml:space="preserve">Settlement timing by merchant agreement; payout restriction</t>
  </si>
  <si>
    <t xml:space="preserve">Cited in team solution document</t>
  </si>
  <si>
    <t xml:space="preserve">S13</t>
  </si>
  <si>
    <t xml:space="preserve">Business Today (Nov 2018): Paytm launches Instant Bank Settlement</t>
  </si>
  <si>
    <t xml:space="preserve">https://www.businesstoday.in/technology/story/paytm-launches-instant-bank-settlement-for-its-merchant-partners-114887-2018-11-29</t>
  </si>
  <si>
    <t xml:space="preserve">Instant / on-demand settlement for offline merchants since 2018</t>
  </si>
  <si>
    <t xml:space="preserve">S14</t>
  </si>
  <si>
    <t xml:space="preserve">Paytm blog: is UPI available for current accounts?</t>
  </si>
  <si>
    <t xml:space="preserve">https://paytm.com/blog/payments/upi/is-upi-available-for-current-accounts-everything-you-need-to-know/</t>
  </si>
  <si>
    <t xml:space="preserve">UPI works with current accounts within bank and NPCI limits</t>
  </si>
  <si>
    <t xml:space="preserve">S15</t>
  </si>
  <si>
    <t xml:space="preserve">VJM Global and MediaNama summaries of PA rules (pre-funding)</t>
  </si>
  <si>
    <t xml:space="preserve">https://www.vjmglobal.com/blog/payment-aggregators-and-payment-gateways-guidelines-on-settlement-and-escrow-account-management-and-other-instructions ; https://www.medianama.com/2025/09/223-explained-rbi-master-direction-payment-aggregators/</t>
  </si>
  <si>
    <t xml:space="preserve">2020 rules allowed PA pre-funding; 2025 summaries silent on whether pre-funded early settlement is lending</t>
  </si>
  <si>
    <t xml:space="preserve">S16</t>
  </si>
  <si>
    <t xml:space="preserve">Paytm_Track_B_VOCs.xlsx (team workbook)</t>
  </si>
  <si>
    <t xml:space="preserve">Internal file</t>
  </si>
  <si>
    <t xml:space="preserve">50-row synthetic VOC dataset for hypothesis stress-testing</t>
  </si>
  <si>
    <t xml:space="preserve">SYNTHETIC: not field research</t>
  </si>
  <si>
    <t xml:space="preserve">S17</t>
  </si>
  <si>
    <t xml:space="preserve">Paytitude_ExecSummary.pdf (Round 1 submission, 25 Sep 2026)</t>
  </si>
  <si>
    <t xml:space="preserve">Round 1 segment, solution, impact and pilot, for the change log</t>
  </si>
  <si>
    <t xml:space="preserve">Read in full</t>
  </si>
  <si>
    <t xml:space="preserve">What changed since Round 1, and why</t>
  </si>
  <si>
    <t xml:space="preserve">Round 1 column verified against Paytitude_ExecSummary.pdf (25 Sep 2026). Track B kept.</t>
  </si>
  <si>
    <t xml:space="preserve">Area</t>
  </si>
  <si>
    <t xml:space="preserve">Round 1</t>
  </si>
  <si>
    <t xml:space="preserve">Round 2</t>
  </si>
  <si>
    <t xml:space="preserve">Why</t>
  </si>
  <si>
    <t xml:space="preserve">Problem framing</t>
  </si>
  <si>
    <t xml:space="preserve">'Paytm owns the counter, not the payout'; the 0.4% MDR from 15 Oct 2026 would push supplier payments to NEFT and cash</t>
  </si>
  <si>
    <t xml:space="preserve">Paytm owns the moment money arrives, not the moment it is spent; no MDR argument</t>
  </si>
  <si>
    <t xml:space="preserve">The fee is not why merchants choose an app, and the MDR argument was legally fragile</t>
  </si>
  <si>
    <t xml:space="preserve">Segment</t>
  </si>
  <si>
    <t xml:space="preserve">Paytm QR / Soundbox merchants collecting over ₹1 lakh a month on UPI (≈24 lakh), starting in Andheri trade clusters</t>
  </si>
  <si>
    <t xml:space="preserve">Same track and base (Paytm-collecting merchants who pay suppliers by UPI), re-cut by behaviour: next-day or separate-account settlement, weekly vendor UPI, a stated friction</t>
  </si>
  <si>
    <t xml:space="preserve">That is where removing a step gives a reason to switch; settlement profile, not size, separated interested from indifferent merchants in the stress-test data</t>
  </si>
  <si>
    <t xml:space="preserve">Solution</t>
  </si>
  <si>
    <t xml:space="preserve">Supplier Pay: four layers (pay from settlement account; invoice-matched receipts and distributor ledger; due-date payments with partner credit; Supplier Khata)</t>
  </si>
  <si>
    <t xml:space="preserve">Settle &amp; Pay: one flow that settles already-received collections to the merchant's own account, then pays the supplier by UPI; free when it funds a supplier payment</t>
  </si>
  <si>
    <t xml:space="preserve">Settlement plus payment in one flow is the Paytm-specific edge</t>
  </si>
  <si>
    <t xml:space="preserve">Credit</t>
  </si>
  <si>
    <t xml:space="preserve">30-day partner-lender credit; break-even at ≈18% supplier credit cost</t>
  </si>
  <si>
    <t xml:space="preserve">Dropped</t>
  </si>
  <si>
    <t xml:space="preserve">No credit need in the evidence; economics were thin</t>
  </si>
  <si>
    <t xml:space="preserve">Ledger and invoices</t>
  </si>
  <si>
    <t xml:space="preserve">Supplier Khata, GST and Tally export; invoice-matched receipts</t>
  </si>
  <si>
    <t xml:space="preserve">Dropped from the MVP</t>
  </si>
  <si>
    <t xml:space="preserve">Billing software already owns this</t>
  </si>
  <si>
    <t xml:space="preserve">Impact estimate</t>
  </si>
  <si>
    <t xml:space="preserve">≈₹27,000 crore a year extra GMV (24 lakh × ₹1 lakh × +11 pts, less 13% leakage); +1–2 lakh new merchant payers</t>
  </si>
  <si>
    <t xml:space="preserve">Staged funnel: base ₹2,660 crore annual run-rate (₹240–19,400 crore); ≈78,000 incremental MTU</t>
  </si>
  <si>
    <t xml:space="preserve">The ₹27,000 crore rested on simulated data and planned supplier payments</t>
  </si>
  <si>
    <t xml:space="preserve">Pilot</t>
  </si>
  <si>
    <t xml:space="preserve">500 Andheri merchants vs control, before Diwali; month-12 target 30% outflow share</t>
  </si>
  <si>
    <t xml:space="preserve">90-day pilot randomised by field-agent territory, ≈3,000 vs 3,000 in two cities; intention-to-treat share target +4 to +6 pts; scale / revise / stop gates</t>
  </si>
  <si>
    <t xml:space="preserve">To prove incrementality before scale</t>
  </si>
  <si>
    <t xml:space="preserve">Evidence base</t>
  </si>
  <si>
    <t xml:space="preserve">Summary cited 'VOC dataset, n=50 Andheri merchants'</t>
  </si>
  <si>
    <t xml:space="preserve">Segment proxies come from a 50-row dataset disclosed as synthetic (hypothesis stress-testing only); ≥20-user validation added (results pending)</t>
  </si>
  <si>
    <t xml:space="preserve">Keeps hypothesis and evidence visibly separate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</si>
</sst>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%"/>
    <numFmt numFmtId="167" formatCode="0.0"/>
    <numFmt numFmtId="168" formatCode="0.0%"/>
    <numFmt numFmtId="169" formatCode="#,##0"/>
    <numFmt numFmtId="170" formatCode="0.00"/>
    <numFmt numFmtId="171" formatCode="#,##0.0"/>
    <numFmt numFmtId="172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E6E"/>
      <name val="Arial"/>
      <family val="0"/>
      <charset val="1"/>
    </font>
    <font>
      <i val="true"/>
      <sz val="9"/>
      <color rgb="FF5B6B7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A96A3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4D6"/>
        <bgColor rgb="FFEEF5FC"/>
      </patternFill>
    </fill>
    <fill>
      <patternFill patternType="solid">
        <fgColor rgb="FFFFFF00"/>
        <bgColor rgb="FFFFFF00"/>
      </patternFill>
    </fill>
    <fill>
      <patternFill patternType="solid">
        <fgColor rgb="FFC62828"/>
        <bgColor rgb="FF993366"/>
      </patternFill>
    </fill>
    <fill>
      <patternFill patternType="solid">
        <fgColor rgb="FF002E6E"/>
        <bgColor rgb="FF333399"/>
      </patternFill>
    </fill>
    <fill>
      <patternFill patternType="solid">
        <fgColor rgb="FFEEF5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EF5FC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300"/>
      <rgbColor rgb="FFFF9900"/>
      <rgbColor rgb="FFFF6600"/>
      <rgbColor rgb="FF5B6B7C"/>
      <rgbColor rgb="FF8A96A3"/>
      <rgbColor rgb="FF002E6E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B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4" t="s">
        <v>5</v>
      </c>
      <c r="B7" s="4" t="s">
        <v>6</v>
      </c>
    </row>
    <row r="8" customFormat="false" ht="15" hidden="false" customHeight="false" outlineLevel="0" collapsed="false">
      <c r="A8" s="4" t="s">
        <v>7</v>
      </c>
      <c r="B8" s="4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</row>
    <row r="10" customFormat="false" ht="15" hidden="false" customHeight="false" outlineLevel="0" collapsed="false">
      <c r="A10" s="4" t="s">
        <v>11</v>
      </c>
      <c r="B10" s="4" t="s">
        <v>12</v>
      </c>
    </row>
    <row r="11" customFormat="false" ht="15" hidden="false" customHeight="false" outlineLevel="0" collapsed="false">
      <c r="A11" s="4" t="s">
        <v>13</v>
      </c>
      <c r="B11" s="4" t="s">
        <v>14</v>
      </c>
    </row>
    <row r="13" customFormat="false" ht="15" hidden="false" customHeight="false" outlineLevel="0" collapsed="false">
      <c r="A13" s="5" t="s">
        <v>15</v>
      </c>
      <c r="B13" s="6" t="s">
        <v>16</v>
      </c>
    </row>
    <row r="14" customFormat="false" ht="15" hidden="false" customHeight="false" outlineLevel="0" collapsed="false">
      <c r="B14" s="6" t="s">
        <v>17</v>
      </c>
    </row>
    <row r="15" customFormat="false" ht="15" hidden="false" customHeight="false" outlineLevel="0" collapsed="false">
      <c r="B15" s="6" t="s">
        <v>18</v>
      </c>
    </row>
    <row r="16" customFormat="false" ht="15" hidden="false" customHeight="false" outlineLevel="0" collapsed="false">
      <c r="B16" s="6" t="s">
        <v>19</v>
      </c>
    </row>
    <row r="17" customFormat="false" ht="15" hidden="false" customHeight="false" outlineLevel="0" collapsed="false">
      <c r="B17" s="6" t="s">
        <v>20</v>
      </c>
    </row>
    <row r="18" customFormat="false" ht="15" hidden="false" customHeight="false" outlineLevel="0" collapsed="false">
      <c r="B18" s="6" t="s">
        <v>21</v>
      </c>
    </row>
    <row r="20" customFormat="false" ht="15" hidden="false" customHeight="false" outlineLevel="0" collapsed="false">
      <c r="A20" s="3" t="s">
        <v>22</v>
      </c>
    </row>
    <row r="21" customFormat="false" ht="15" hidden="false" customHeight="false" outlineLevel="0" collapsed="false">
      <c r="A21" s="7" t="s">
        <v>23</v>
      </c>
      <c r="B21" s="4" t="s">
        <v>24</v>
      </c>
    </row>
    <row r="22" customFormat="false" ht="15" hidden="false" customHeight="false" outlineLevel="0" collapsed="false">
      <c r="A22" s="4" t="s">
        <v>25</v>
      </c>
      <c r="B22" s="4" t="s">
        <v>26</v>
      </c>
    </row>
    <row r="23" customFormat="false" ht="15" hidden="false" customHeight="false" outlineLevel="0" collapsed="false">
      <c r="A23" s="8" t="s">
        <v>27</v>
      </c>
      <c r="B23" s="4" t="s">
        <v>28</v>
      </c>
    </row>
    <row r="24" customFormat="false" ht="15" hidden="false" customHeight="false" outlineLevel="0" collapsed="false">
      <c r="A24" s="9" t="s">
        <v>29</v>
      </c>
      <c r="B24" s="4" t="s">
        <v>30</v>
      </c>
    </row>
    <row r="26" customFormat="false" ht="15" hidden="false" customHeight="false" outlineLevel="0" collapsed="false">
      <c r="A26" s="3" t="s">
        <v>31</v>
      </c>
    </row>
    <row r="27" customFormat="false" ht="15" hidden="false" customHeight="false" outlineLevel="0" collapsed="false">
      <c r="A27" s="4" t="s">
        <v>32</v>
      </c>
      <c r="B27" s="4" t="s">
        <v>33</v>
      </c>
    </row>
    <row r="28" customFormat="false" ht="15" hidden="false" customHeight="false" outlineLevel="0" collapsed="false">
      <c r="A28" s="4" t="s">
        <v>34</v>
      </c>
      <c r="B28" s="4" t="s">
        <v>35</v>
      </c>
    </row>
    <row r="29" customFormat="false" ht="15" hidden="false" customHeight="false" outlineLevel="0" collapsed="false">
      <c r="A29" s="4" t="s">
        <v>36</v>
      </c>
      <c r="B29" s="4" t="s">
        <v>37</v>
      </c>
    </row>
    <row r="31" customFormat="false" ht="15" hidden="false" customHeight="false" outlineLevel="0" collapsed="false">
      <c r="A31" s="3" t="s">
        <v>38</v>
      </c>
    </row>
    <row r="32" customFormat="false" ht="15" hidden="false" customHeight="false" outlineLevel="0" collapsed="false">
      <c r="A32" s="4" t="s">
        <v>39</v>
      </c>
      <c r="B32" s="4" t="s">
        <v>40</v>
      </c>
    </row>
    <row r="33" customFormat="false" ht="15" hidden="false" customHeight="false" outlineLevel="0" collapsed="false">
      <c r="A33" s="4" t="s">
        <v>41</v>
      </c>
      <c r="B33" s="4" t="s">
        <v>42</v>
      </c>
    </row>
    <row r="34" customFormat="false" ht="15" hidden="false" customHeight="false" outlineLevel="0" collapsed="false">
      <c r="A34" s="4" t="s">
        <v>43</v>
      </c>
      <c r="B34" s="4" t="s">
        <v>44</v>
      </c>
    </row>
    <row r="35" customFormat="false" ht="15" hidden="false" customHeight="false" outlineLevel="0" collapsed="false">
      <c r="A35" s="4" t="s">
        <v>45</v>
      </c>
      <c r="B35" s="4" t="s">
        <v>46</v>
      </c>
    </row>
    <row r="36" customFormat="false" ht="15" hidden="false" customHeight="false" outlineLevel="0" collapsed="false">
      <c r="A36" s="4" t="s">
        <v>47</v>
      </c>
      <c r="B36" s="4" t="s">
        <v>48</v>
      </c>
    </row>
    <row r="37" customFormat="false" ht="15" hidden="false" customHeight="false" outlineLevel="0" collapsed="false">
      <c r="A37" s="4" t="s">
        <v>49</v>
      </c>
      <c r="B37" s="4" t="s">
        <v>50</v>
      </c>
    </row>
    <row r="38" customFormat="false" ht="15" hidden="false" customHeight="false" outlineLevel="0" collapsed="false">
      <c r="A38" s="4" t="s">
        <v>51</v>
      </c>
      <c r="B38" s="4" t="s">
        <v>52</v>
      </c>
    </row>
    <row r="39" customFormat="false" ht="15" hidden="false" customHeight="false" outlineLevel="0" collapsed="false">
      <c r="A39" s="4" t="s">
        <v>53</v>
      </c>
      <c r="B39" s="4" t="s">
        <v>54</v>
      </c>
    </row>
    <row r="40" customFormat="false" ht="15" hidden="false" customHeight="false" outlineLevel="0" collapsed="false">
      <c r="A40" s="4" t="s">
        <v>55</v>
      </c>
      <c r="B40" s="4" t="s">
        <v>56</v>
      </c>
    </row>
    <row r="41" customFormat="false" ht="15" hidden="false" customHeight="false" outlineLevel="0" collapsed="false">
      <c r="A41" s="4" t="s">
        <v>57</v>
      </c>
      <c r="B41" s="4" t="s">
        <v>58</v>
      </c>
    </row>
    <row r="42" customFormat="false" ht="15" hidden="false" customHeight="false" outlineLevel="0" collapsed="false">
      <c r="A42" s="4" t="s">
        <v>59</v>
      </c>
      <c r="B42" s="4" t="s">
        <v>60</v>
      </c>
    </row>
    <row r="43" customFormat="false" ht="15" hidden="false" customHeight="false" outlineLevel="0" collapsed="false">
      <c r="A43" s="4" t="s">
        <v>61</v>
      </c>
      <c r="B43" s="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A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34"/>
    <col collapsed="false" customWidth="true" hidden="false" outlineLevel="0" max="17" min="7" style="0" width="16"/>
    <col collapsed="false" customWidth="true" hidden="false" outlineLevel="0" max="19" min="18" style="0" width="34"/>
    <col collapsed="false" customWidth="true" hidden="false" outlineLevel="0" max="23" min="20" style="0" width="16"/>
    <col collapsed="false" customWidth="true" hidden="false" outlineLevel="0" max="26" min="24" style="0" width="34"/>
    <col collapsed="false" customWidth="true" hidden="false" outlineLevel="0" max="30" min="27" style="0" width="16"/>
  </cols>
  <sheetData>
    <row r="1" customFormat="false" ht="24" hidden="false" customHeight="true" outlineLevel="0" collapsed="false">
      <c r="A1" s="10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customFormat="false" ht="15" hidden="false" customHeight="false" outlineLevel="0" collapsed="false">
      <c r="A2" s="2" t="s">
        <v>64</v>
      </c>
    </row>
    <row r="3" customFormat="false" ht="35.05" hidden="false" customHeight="fals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70</v>
      </c>
      <c r="G3" s="11" t="s">
        <v>71</v>
      </c>
      <c r="H3" s="11" t="s">
        <v>72</v>
      </c>
      <c r="I3" s="11" t="s">
        <v>73</v>
      </c>
      <c r="J3" s="11" t="s">
        <v>74</v>
      </c>
      <c r="K3" s="11" t="s">
        <v>75</v>
      </c>
      <c r="L3" s="11" t="s">
        <v>76</v>
      </c>
      <c r="M3" s="11" t="s">
        <v>77</v>
      </c>
      <c r="N3" s="11" t="s">
        <v>78</v>
      </c>
      <c r="O3" s="11" t="s">
        <v>79</v>
      </c>
      <c r="P3" s="11" t="s">
        <v>80</v>
      </c>
      <c r="Q3" s="11" t="s">
        <v>81</v>
      </c>
      <c r="R3" s="11" t="s">
        <v>82</v>
      </c>
      <c r="S3" s="11" t="s">
        <v>83</v>
      </c>
      <c r="T3" s="11" t="s">
        <v>84</v>
      </c>
      <c r="U3" s="11" t="s">
        <v>85</v>
      </c>
      <c r="V3" s="11" t="s">
        <v>86</v>
      </c>
      <c r="W3" s="11" t="s">
        <v>87</v>
      </c>
      <c r="X3" s="11" t="s">
        <v>88</v>
      </c>
      <c r="Y3" s="11" t="s">
        <v>89</v>
      </c>
      <c r="Z3" s="11" t="s">
        <v>90</v>
      </c>
      <c r="AA3" s="11" t="s">
        <v>91</v>
      </c>
      <c r="AB3" s="11" t="s">
        <v>92</v>
      </c>
      <c r="AC3" s="11" t="s">
        <v>93</v>
      </c>
      <c r="AD3" s="11" t="s">
        <v>94</v>
      </c>
    </row>
    <row r="4" customFormat="false" ht="35.05" hidden="false" customHeight="false" outlineLevel="0" collapsed="false">
      <c r="A4" s="4" t="s">
        <v>95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 t="s">
        <v>103</v>
      </c>
      <c r="J4" s="4" t="s">
        <v>104</v>
      </c>
      <c r="K4" s="4" t="s">
        <v>105</v>
      </c>
      <c r="L4" s="4" t="s">
        <v>106</v>
      </c>
      <c r="M4" s="4" t="s">
        <v>107</v>
      </c>
      <c r="N4" s="4" t="s">
        <v>108</v>
      </c>
      <c r="O4" s="4" t="s">
        <v>109</v>
      </c>
      <c r="P4" s="4" t="s">
        <v>110</v>
      </c>
      <c r="Q4" s="4" t="s">
        <v>111</v>
      </c>
      <c r="R4" s="4" t="s">
        <v>112</v>
      </c>
      <c r="S4" s="4" t="s">
        <v>113</v>
      </c>
      <c r="T4" s="4" t="s">
        <v>114</v>
      </c>
      <c r="U4" s="4" t="s">
        <v>115</v>
      </c>
      <c r="V4" s="4" t="s">
        <v>111</v>
      </c>
      <c r="W4" s="4" t="s">
        <v>116</v>
      </c>
      <c r="X4" s="4" t="s">
        <v>117</v>
      </c>
      <c r="Y4" s="4" t="s">
        <v>118</v>
      </c>
      <c r="Z4" s="4" t="s">
        <v>119</v>
      </c>
      <c r="AA4" s="12" t="s">
        <v>120</v>
      </c>
      <c r="AB4" s="12" t="s">
        <v>121</v>
      </c>
      <c r="AC4" s="12" t="s">
        <v>122</v>
      </c>
      <c r="AD4" s="12" t="s">
        <v>123</v>
      </c>
    </row>
    <row r="5" customFormat="false" ht="23.85" hidden="false" customHeight="false" outlineLevel="0" collapsed="false">
      <c r="A5" s="4" t="s">
        <v>124</v>
      </c>
      <c r="B5" s="4" t="s">
        <v>96</v>
      </c>
      <c r="C5" s="4" t="s">
        <v>125</v>
      </c>
      <c r="D5" s="4" t="s">
        <v>98</v>
      </c>
      <c r="E5" s="4" t="s">
        <v>126</v>
      </c>
      <c r="F5" s="4" t="s">
        <v>127</v>
      </c>
      <c r="G5" s="4" t="s">
        <v>128</v>
      </c>
      <c r="H5" s="4" t="s">
        <v>129</v>
      </c>
      <c r="I5" s="4" t="s">
        <v>103</v>
      </c>
      <c r="J5" s="4" t="s">
        <v>130</v>
      </c>
      <c r="K5" s="4" t="s">
        <v>131</v>
      </c>
      <c r="L5" s="4" t="s">
        <v>132</v>
      </c>
      <c r="M5" s="4" t="s">
        <v>108</v>
      </c>
      <c r="N5" s="4" t="s">
        <v>108</v>
      </c>
      <c r="O5" s="4" t="s">
        <v>109</v>
      </c>
      <c r="P5" s="4" t="s">
        <v>133</v>
      </c>
      <c r="Q5" s="4" t="s">
        <v>111</v>
      </c>
      <c r="R5" s="4" t="s">
        <v>134</v>
      </c>
      <c r="S5" s="4" t="s">
        <v>135</v>
      </c>
      <c r="T5" s="4" t="s">
        <v>136</v>
      </c>
      <c r="U5" s="4" t="s">
        <v>115</v>
      </c>
      <c r="V5" s="4" t="s">
        <v>111</v>
      </c>
      <c r="W5" s="4" t="s">
        <v>137</v>
      </c>
      <c r="X5" s="4" t="s">
        <v>138</v>
      </c>
      <c r="Y5" s="4" t="s">
        <v>139</v>
      </c>
      <c r="Z5" s="4" t="s">
        <v>140</v>
      </c>
      <c r="AA5" s="12" t="s">
        <v>141</v>
      </c>
      <c r="AB5" s="12" t="s">
        <v>142</v>
      </c>
      <c r="AC5" s="12" t="s">
        <v>143</v>
      </c>
      <c r="AD5" s="12" t="s">
        <v>123</v>
      </c>
    </row>
    <row r="6" customFormat="false" ht="35.05" hidden="false" customHeight="false" outlineLevel="0" collapsed="false">
      <c r="A6" s="4" t="s">
        <v>144</v>
      </c>
      <c r="B6" s="4" t="s">
        <v>145</v>
      </c>
      <c r="C6" s="4" t="s">
        <v>146</v>
      </c>
      <c r="D6" s="4" t="s">
        <v>98</v>
      </c>
      <c r="E6" s="4" t="s">
        <v>99</v>
      </c>
      <c r="F6" s="4" t="s">
        <v>100</v>
      </c>
      <c r="G6" s="4" t="s">
        <v>102</v>
      </c>
      <c r="H6" s="4" t="s">
        <v>102</v>
      </c>
      <c r="I6" s="4" t="s">
        <v>104</v>
      </c>
      <c r="J6" s="4" t="s">
        <v>147</v>
      </c>
      <c r="K6" s="4" t="s">
        <v>105</v>
      </c>
      <c r="L6" s="4" t="s">
        <v>132</v>
      </c>
      <c r="M6" s="4" t="s">
        <v>107</v>
      </c>
      <c r="N6" s="4" t="s">
        <v>108</v>
      </c>
      <c r="O6" s="4" t="s">
        <v>109</v>
      </c>
      <c r="P6" s="4" t="s">
        <v>148</v>
      </c>
      <c r="Q6" s="4" t="s">
        <v>111</v>
      </c>
      <c r="R6" s="4" t="s">
        <v>112</v>
      </c>
      <c r="S6" s="4" t="s">
        <v>149</v>
      </c>
      <c r="T6" s="4" t="s">
        <v>114</v>
      </c>
      <c r="U6" s="4" t="s">
        <v>136</v>
      </c>
      <c r="V6" s="4" t="s">
        <v>111</v>
      </c>
      <c r="W6" s="4" t="s">
        <v>150</v>
      </c>
      <c r="X6" s="4" t="s">
        <v>117</v>
      </c>
      <c r="Y6" s="4" t="s">
        <v>118</v>
      </c>
      <c r="Z6" s="4" t="s">
        <v>151</v>
      </c>
      <c r="AA6" s="12" t="s">
        <v>120</v>
      </c>
      <c r="AB6" s="12" t="s">
        <v>121</v>
      </c>
      <c r="AC6" s="12" t="s">
        <v>122</v>
      </c>
      <c r="AD6" s="12" t="s">
        <v>123</v>
      </c>
    </row>
    <row r="7" customFormat="false" ht="23.85" hidden="false" customHeight="false" outlineLevel="0" collapsed="false">
      <c r="A7" s="4" t="s">
        <v>152</v>
      </c>
      <c r="B7" s="4" t="s">
        <v>96</v>
      </c>
      <c r="C7" s="4" t="s">
        <v>153</v>
      </c>
      <c r="D7" s="4" t="s">
        <v>98</v>
      </c>
      <c r="E7" s="4" t="s">
        <v>154</v>
      </c>
      <c r="F7" s="4" t="s">
        <v>127</v>
      </c>
      <c r="G7" s="4" t="s">
        <v>102</v>
      </c>
      <c r="H7" s="4" t="s">
        <v>101</v>
      </c>
      <c r="I7" s="4" t="s">
        <v>104</v>
      </c>
      <c r="J7" s="4" t="s">
        <v>103</v>
      </c>
      <c r="K7" s="4" t="s">
        <v>131</v>
      </c>
      <c r="L7" s="4" t="s">
        <v>132</v>
      </c>
      <c r="M7" s="4" t="s">
        <v>108</v>
      </c>
      <c r="N7" s="4" t="s">
        <v>108</v>
      </c>
      <c r="O7" s="4" t="s">
        <v>109</v>
      </c>
      <c r="P7" s="4" t="s">
        <v>155</v>
      </c>
      <c r="Q7" s="4" t="s">
        <v>111</v>
      </c>
      <c r="R7" s="4" t="s">
        <v>156</v>
      </c>
      <c r="S7" s="4" t="s">
        <v>157</v>
      </c>
      <c r="T7" s="4" t="s">
        <v>136</v>
      </c>
      <c r="U7" s="4" t="s">
        <v>115</v>
      </c>
      <c r="V7" s="4" t="s">
        <v>111</v>
      </c>
      <c r="W7" s="4" t="s">
        <v>158</v>
      </c>
      <c r="X7" s="4" t="s">
        <v>138</v>
      </c>
      <c r="Y7" s="4" t="s">
        <v>139</v>
      </c>
      <c r="Z7" s="4" t="s">
        <v>140</v>
      </c>
      <c r="AA7" s="12" t="s">
        <v>141</v>
      </c>
      <c r="AB7" s="12" t="s">
        <v>142</v>
      </c>
      <c r="AC7" s="12" t="s">
        <v>143</v>
      </c>
      <c r="AD7" s="12" t="s">
        <v>123</v>
      </c>
    </row>
    <row r="8" customFormat="false" ht="35.05" hidden="false" customHeight="false" outlineLevel="0" collapsed="false">
      <c r="A8" s="4" t="s">
        <v>159</v>
      </c>
      <c r="B8" s="4" t="s">
        <v>160</v>
      </c>
      <c r="C8" s="4" t="s">
        <v>161</v>
      </c>
      <c r="D8" s="4" t="s">
        <v>98</v>
      </c>
      <c r="E8" s="4" t="s">
        <v>162</v>
      </c>
      <c r="F8" s="4" t="s">
        <v>127</v>
      </c>
      <c r="G8" s="4" t="s">
        <v>163</v>
      </c>
      <c r="H8" s="4" t="s">
        <v>128</v>
      </c>
      <c r="I8" s="4" t="s">
        <v>104</v>
      </c>
      <c r="J8" s="4" t="s">
        <v>147</v>
      </c>
      <c r="K8" s="4" t="s">
        <v>105</v>
      </c>
      <c r="L8" s="4" t="s">
        <v>132</v>
      </c>
      <c r="M8" s="4" t="s">
        <v>108</v>
      </c>
      <c r="N8" s="4" t="s">
        <v>108</v>
      </c>
      <c r="O8" s="4" t="s">
        <v>109</v>
      </c>
      <c r="P8" s="4" t="s">
        <v>155</v>
      </c>
      <c r="Q8" s="4" t="s">
        <v>111</v>
      </c>
      <c r="R8" s="4" t="s">
        <v>164</v>
      </c>
      <c r="S8" s="4" t="s">
        <v>165</v>
      </c>
      <c r="T8" s="4" t="s">
        <v>136</v>
      </c>
      <c r="U8" s="4" t="s">
        <v>136</v>
      </c>
      <c r="V8" s="4" t="s">
        <v>111</v>
      </c>
      <c r="W8" s="4" t="s">
        <v>158</v>
      </c>
      <c r="X8" s="4" t="s">
        <v>166</v>
      </c>
      <c r="Y8" s="4" t="s">
        <v>167</v>
      </c>
      <c r="Z8" s="4" t="s">
        <v>140</v>
      </c>
      <c r="AA8" s="12" t="s">
        <v>120</v>
      </c>
      <c r="AB8" s="12" t="s">
        <v>121</v>
      </c>
      <c r="AC8" s="12" t="s">
        <v>122</v>
      </c>
      <c r="AD8" s="12" t="s">
        <v>123</v>
      </c>
    </row>
    <row r="9" customFormat="false" ht="35.05" hidden="false" customHeight="false" outlineLevel="0" collapsed="false">
      <c r="A9" s="4" t="s">
        <v>168</v>
      </c>
      <c r="B9" s="4" t="s">
        <v>96</v>
      </c>
      <c r="C9" s="4" t="s">
        <v>169</v>
      </c>
      <c r="D9" s="4" t="s">
        <v>98</v>
      </c>
      <c r="E9" s="4" t="s">
        <v>170</v>
      </c>
      <c r="F9" s="4" t="s">
        <v>100</v>
      </c>
      <c r="G9" s="4" t="s">
        <v>128</v>
      </c>
      <c r="H9" s="4" t="s">
        <v>102</v>
      </c>
      <c r="I9" s="4" t="s">
        <v>104</v>
      </c>
      <c r="J9" s="4" t="s">
        <v>147</v>
      </c>
      <c r="K9" s="4" t="s">
        <v>105</v>
      </c>
      <c r="L9" s="4" t="s">
        <v>132</v>
      </c>
      <c r="M9" s="4" t="s">
        <v>108</v>
      </c>
      <c r="N9" s="4" t="s">
        <v>108</v>
      </c>
      <c r="O9" s="4" t="s">
        <v>171</v>
      </c>
      <c r="P9" s="4" t="s">
        <v>148</v>
      </c>
      <c r="Q9" s="4" t="s">
        <v>111</v>
      </c>
      <c r="R9" s="4" t="s">
        <v>172</v>
      </c>
      <c r="S9" s="4" t="s">
        <v>149</v>
      </c>
      <c r="T9" s="4" t="s">
        <v>114</v>
      </c>
      <c r="U9" s="4" t="s">
        <v>115</v>
      </c>
      <c r="V9" s="4" t="s">
        <v>111</v>
      </c>
      <c r="W9" s="4" t="s">
        <v>116</v>
      </c>
      <c r="X9" s="4" t="s">
        <v>117</v>
      </c>
      <c r="Y9" s="4" t="s">
        <v>173</v>
      </c>
      <c r="Z9" s="4" t="s">
        <v>151</v>
      </c>
      <c r="AA9" s="12" t="s">
        <v>120</v>
      </c>
      <c r="AB9" s="12" t="s">
        <v>121</v>
      </c>
      <c r="AC9" s="12" t="s">
        <v>122</v>
      </c>
      <c r="AD9" s="12" t="s">
        <v>123</v>
      </c>
    </row>
    <row r="10" customFormat="false" ht="35.05" hidden="false" customHeight="false" outlineLevel="0" collapsed="false">
      <c r="A10" s="4" t="s">
        <v>174</v>
      </c>
      <c r="B10" s="4" t="s">
        <v>175</v>
      </c>
      <c r="C10" s="4" t="s">
        <v>176</v>
      </c>
      <c r="D10" s="4" t="s">
        <v>98</v>
      </c>
      <c r="E10" s="4" t="s">
        <v>177</v>
      </c>
      <c r="F10" s="4" t="s">
        <v>178</v>
      </c>
      <c r="G10" s="4" t="s">
        <v>163</v>
      </c>
      <c r="H10" s="4" t="s">
        <v>129</v>
      </c>
      <c r="I10" s="4" t="s">
        <v>103</v>
      </c>
      <c r="J10" s="4" t="s">
        <v>147</v>
      </c>
      <c r="K10" s="4" t="s">
        <v>179</v>
      </c>
      <c r="L10" s="4" t="s">
        <v>106</v>
      </c>
      <c r="M10" s="4" t="s">
        <v>107</v>
      </c>
      <c r="N10" s="4" t="s">
        <v>108</v>
      </c>
      <c r="O10" s="4" t="s">
        <v>171</v>
      </c>
      <c r="P10" s="4" t="s">
        <v>180</v>
      </c>
      <c r="Q10" s="4" t="s">
        <v>181</v>
      </c>
      <c r="R10" s="4" t="s">
        <v>182</v>
      </c>
      <c r="S10" s="4" t="s">
        <v>183</v>
      </c>
      <c r="T10" s="4" t="s">
        <v>136</v>
      </c>
      <c r="U10" s="4" t="s">
        <v>115</v>
      </c>
      <c r="V10" s="4" t="s">
        <v>111</v>
      </c>
      <c r="W10" s="4" t="s">
        <v>184</v>
      </c>
      <c r="X10" s="4" t="s">
        <v>185</v>
      </c>
      <c r="Y10" s="4" t="s">
        <v>186</v>
      </c>
      <c r="Z10" s="4" t="s">
        <v>187</v>
      </c>
      <c r="AA10" s="12" t="s">
        <v>141</v>
      </c>
      <c r="AB10" s="12" t="s">
        <v>188</v>
      </c>
      <c r="AC10" s="12" t="s">
        <v>189</v>
      </c>
      <c r="AD10" s="12" t="s">
        <v>123</v>
      </c>
    </row>
    <row r="11" customFormat="false" ht="23.85" hidden="false" customHeight="false" outlineLevel="0" collapsed="false">
      <c r="A11" s="4" t="s">
        <v>190</v>
      </c>
      <c r="B11" s="4" t="s">
        <v>96</v>
      </c>
      <c r="C11" s="4" t="s">
        <v>191</v>
      </c>
      <c r="D11" s="4" t="s">
        <v>98</v>
      </c>
      <c r="E11" s="4" t="s">
        <v>192</v>
      </c>
      <c r="F11" s="4" t="s">
        <v>127</v>
      </c>
      <c r="G11" s="4" t="s">
        <v>128</v>
      </c>
      <c r="H11" s="4" t="s">
        <v>129</v>
      </c>
      <c r="I11" s="4" t="s">
        <v>103</v>
      </c>
      <c r="J11" s="4" t="s">
        <v>147</v>
      </c>
      <c r="K11" s="4" t="s">
        <v>131</v>
      </c>
      <c r="L11" s="4" t="s">
        <v>106</v>
      </c>
      <c r="M11" s="4" t="s">
        <v>108</v>
      </c>
      <c r="N11" s="4" t="s">
        <v>108</v>
      </c>
      <c r="O11" s="4" t="s">
        <v>109</v>
      </c>
      <c r="P11" s="4" t="s">
        <v>148</v>
      </c>
      <c r="Q11" s="4" t="s">
        <v>111</v>
      </c>
      <c r="R11" s="4" t="s">
        <v>156</v>
      </c>
      <c r="S11" s="4" t="s">
        <v>135</v>
      </c>
      <c r="T11" s="4" t="s">
        <v>136</v>
      </c>
      <c r="U11" s="4" t="s">
        <v>115</v>
      </c>
      <c r="V11" s="4" t="s">
        <v>111</v>
      </c>
      <c r="W11" s="4" t="s">
        <v>137</v>
      </c>
      <c r="X11" s="4" t="s">
        <v>193</v>
      </c>
      <c r="Y11" s="4" t="s">
        <v>194</v>
      </c>
      <c r="Z11" s="4" t="s">
        <v>140</v>
      </c>
      <c r="AA11" s="12" t="s">
        <v>141</v>
      </c>
      <c r="AB11" s="12" t="s">
        <v>142</v>
      </c>
      <c r="AC11" s="12" t="s">
        <v>143</v>
      </c>
      <c r="AD11" s="12" t="s">
        <v>123</v>
      </c>
    </row>
    <row r="12" customFormat="false" ht="35.05" hidden="false" customHeight="false" outlineLevel="0" collapsed="false">
      <c r="A12" s="4" t="s">
        <v>195</v>
      </c>
      <c r="B12" s="4" t="s">
        <v>196</v>
      </c>
      <c r="C12" s="4" t="s">
        <v>97</v>
      </c>
      <c r="D12" s="4" t="s">
        <v>98</v>
      </c>
      <c r="E12" s="4" t="s">
        <v>99</v>
      </c>
      <c r="F12" s="4" t="s">
        <v>178</v>
      </c>
      <c r="G12" s="4" t="s">
        <v>163</v>
      </c>
      <c r="H12" s="4" t="s">
        <v>102</v>
      </c>
      <c r="I12" s="4" t="s">
        <v>103</v>
      </c>
      <c r="J12" s="4" t="s">
        <v>104</v>
      </c>
      <c r="K12" s="4" t="s">
        <v>179</v>
      </c>
      <c r="L12" s="4" t="s">
        <v>197</v>
      </c>
      <c r="M12" s="4" t="s">
        <v>108</v>
      </c>
      <c r="N12" s="4" t="s">
        <v>108</v>
      </c>
      <c r="O12" s="4" t="s">
        <v>171</v>
      </c>
      <c r="P12" s="4" t="s">
        <v>198</v>
      </c>
      <c r="Q12" s="4" t="s">
        <v>111</v>
      </c>
      <c r="R12" s="4" t="s">
        <v>199</v>
      </c>
      <c r="S12" s="4" t="s">
        <v>183</v>
      </c>
      <c r="T12" s="4" t="s">
        <v>115</v>
      </c>
      <c r="U12" s="4" t="s">
        <v>136</v>
      </c>
      <c r="V12" s="4" t="s">
        <v>181</v>
      </c>
      <c r="W12" s="4" t="s">
        <v>200</v>
      </c>
      <c r="X12" s="4" t="s">
        <v>185</v>
      </c>
      <c r="Y12" s="4" t="s">
        <v>201</v>
      </c>
      <c r="Z12" s="4" t="s">
        <v>187</v>
      </c>
      <c r="AA12" s="12" t="s">
        <v>141</v>
      </c>
      <c r="AB12" s="12" t="s">
        <v>188</v>
      </c>
      <c r="AC12" s="12" t="s">
        <v>189</v>
      </c>
      <c r="AD12" s="12" t="s">
        <v>123</v>
      </c>
    </row>
    <row r="13" customFormat="false" ht="35.05" hidden="false" customHeight="false" outlineLevel="0" collapsed="false">
      <c r="A13" s="4" t="s">
        <v>202</v>
      </c>
      <c r="B13" s="4" t="s">
        <v>203</v>
      </c>
      <c r="C13" s="4" t="s">
        <v>204</v>
      </c>
      <c r="D13" s="4" t="s">
        <v>98</v>
      </c>
      <c r="E13" s="4" t="s">
        <v>205</v>
      </c>
      <c r="F13" s="4" t="s">
        <v>178</v>
      </c>
      <c r="G13" s="4" t="s">
        <v>102</v>
      </c>
      <c r="H13" s="4" t="s">
        <v>206</v>
      </c>
      <c r="I13" s="4" t="s">
        <v>104</v>
      </c>
      <c r="J13" s="4" t="s">
        <v>147</v>
      </c>
      <c r="K13" s="4" t="s">
        <v>105</v>
      </c>
      <c r="L13" s="4" t="s">
        <v>197</v>
      </c>
      <c r="M13" s="4" t="s">
        <v>207</v>
      </c>
      <c r="N13" s="4" t="s">
        <v>108</v>
      </c>
      <c r="O13" s="4" t="s">
        <v>208</v>
      </c>
      <c r="P13" s="4" t="s">
        <v>209</v>
      </c>
      <c r="Q13" s="4" t="s">
        <v>210</v>
      </c>
      <c r="R13" s="4" t="s">
        <v>211</v>
      </c>
      <c r="S13" s="4" t="s">
        <v>212</v>
      </c>
      <c r="T13" s="4" t="s">
        <v>136</v>
      </c>
      <c r="U13" s="4" t="s">
        <v>115</v>
      </c>
      <c r="V13" s="4" t="s">
        <v>181</v>
      </c>
      <c r="W13" s="4" t="s">
        <v>213</v>
      </c>
      <c r="X13" s="4" t="s">
        <v>214</v>
      </c>
      <c r="Y13" s="4" t="s">
        <v>215</v>
      </c>
      <c r="Z13" s="4" t="s">
        <v>216</v>
      </c>
      <c r="AA13" s="12" t="s">
        <v>120</v>
      </c>
      <c r="AB13" s="12" t="s">
        <v>217</v>
      </c>
      <c r="AC13" s="12" t="s">
        <v>143</v>
      </c>
      <c r="AD13" s="12" t="s">
        <v>218</v>
      </c>
    </row>
    <row r="14" customFormat="false" ht="35.05" hidden="false" customHeight="false" outlineLevel="0" collapsed="false">
      <c r="A14" s="4" t="s">
        <v>219</v>
      </c>
      <c r="B14" s="4" t="s">
        <v>96</v>
      </c>
      <c r="C14" s="4" t="s">
        <v>220</v>
      </c>
      <c r="D14" s="4" t="s">
        <v>181</v>
      </c>
      <c r="E14" s="4" t="s">
        <v>221</v>
      </c>
      <c r="F14" s="4" t="s">
        <v>178</v>
      </c>
      <c r="G14" s="4" t="s">
        <v>101</v>
      </c>
      <c r="H14" s="4" t="s">
        <v>102</v>
      </c>
      <c r="I14" s="4" t="s">
        <v>147</v>
      </c>
      <c r="J14" s="4" t="s">
        <v>147</v>
      </c>
      <c r="K14" s="4" t="s">
        <v>222</v>
      </c>
      <c r="L14" s="4" t="s">
        <v>132</v>
      </c>
      <c r="M14" s="4" t="s">
        <v>108</v>
      </c>
      <c r="N14" s="4" t="s">
        <v>108</v>
      </c>
      <c r="O14" s="4" t="s">
        <v>109</v>
      </c>
      <c r="P14" s="4" t="s">
        <v>209</v>
      </c>
      <c r="Q14" s="4" t="s">
        <v>111</v>
      </c>
      <c r="R14" s="4" t="s">
        <v>223</v>
      </c>
      <c r="S14" s="4" t="s">
        <v>212</v>
      </c>
      <c r="T14" s="4" t="s">
        <v>114</v>
      </c>
      <c r="U14" s="4" t="s">
        <v>115</v>
      </c>
      <c r="V14" s="4" t="s">
        <v>111</v>
      </c>
      <c r="W14" s="4" t="s">
        <v>200</v>
      </c>
      <c r="X14" s="4" t="s">
        <v>224</v>
      </c>
      <c r="Y14" s="4" t="s">
        <v>186</v>
      </c>
      <c r="Z14" s="4" t="s">
        <v>187</v>
      </c>
      <c r="AA14" s="12" t="s">
        <v>120</v>
      </c>
      <c r="AB14" s="12" t="s">
        <v>217</v>
      </c>
      <c r="AC14" s="12" t="s">
        <v>143</v>
      </c>
      <c r="AD14" s="12" t="s">
        <v>218</v>
      </c>
    </row>
    <row r="15" customFormat="false" ht="35.05" hidden="false" customHeight="false" outlineLevel="0" collapsed="false">
      <c r="A15" s="4" t="s">
        <v>225</v>
      </c>
      <c r="B15" s="4" t="s">
        <v>226</v>
      </c>
      <c r="C15" s="4" t="s">
        <v>227</v>
      </c>
      <c r="D15" s="4" t="s">
        <v>98</v>
      </c>
      <c r="E15" s="4" t="s">
        <v>205</v>
      </c>
      <c r="F15" s="4" t="s">
        <v>178</v>
      </c>
      <c r="G15" s="4" t="s">
        <v>163</v>
      </c>
      <c r="H15" s="4" t="s">
        <v>102</v>
      </c>
      <c r="I15" s="4" t="s">
        <v>104</v>
      </c>
      <c r="J15" s="4" t="s">
        <v>130</v>
      </c>
      <c r="K15" s="4" t="s">
        <v>105</v>
      </c>
      <c r="L15" s="4" t="s">
        <v>197</v>
      </c>
      <c r="M15" s="4" t="s">
        <v>108</v>
      </c>
      <c r="N15" s="4" t="s">
        <v>108</v>
      </c>
      <c r="O15" s="4" t="s">
        <v>109</v>
      </c>
      <c r="P15" s="4" t="s">
        <v>198</v>
      </c>
      <c r="Q15" s="4" t="s">
        <v>111</v>
      </c>
      <c r="R15" s="4" t="s">
        <v>211</v>
      </c>
      <c r="S15" s="4" t="s">
        <v>183</v>
      </c>
      <c r="T15" s="4" t="s">
        <v>115</v>
      </c>
      <c r="U15" s="4" t="s">
        <v>115</v>
      </c>
      <c r="V15" s="4" t="s">
        <v>181</v>
      </c>
      <c r="W15" s="4" t="s">
        <v>184</v>
      </c>
      <c r="X15" s="4" t="s">
        <v>185</v>
      </c>
      <c r="Y15" s="4" t="s">
        <v>186</v>
      </c>
      <c r="Z15" s="4" t="s">
        <v>187</v>
      </c>
      <c r="AA15" s="12" t="s">
        <v>120</v>
      </c>
      <c r="AB15" s="12" t="s">
        <v>217</v>
      </c>
      <c r="AC15" s="12" t="s">
        <v>143</v>
      </c>
      <c r="AD15" s="12" t="s">
        <v>218</v>
      </c>
    </row>
    <row r="16" customFormat="false" ht="35.05" hidden="false" customHeight="false" outlineLevel="0" collapsed="false">
      <c r="A16" s="4" t="s">
        <v>228</v>
      </c>
      <c r="B16" s="4" t="s">
        <v>229</v>
      </c>
      <c r="C16" s="4" t="s">
        <v>230</v>
      </c>
      <c r="D16" s="4" t="s">
        <v>98</v>
      </c>
      <c r="E16" s="4" t="s">
        <v>231</v>
      </c>
      <c r="F16" s="4" t="s">
        <v>100</v>
      </c>
      <c r="G16" s="4" t="s">
        <v>163</v>
      </c>
      <c r="H16" s="4" t="s">
        <v>102</v>
      </c>
      <c r="I16" s="4" t="s">
        <v>103</v>
      </c>
      <c r="J16" s="4" t="s">
        <v>147</v>
      </c>
      <c r="K16" s="4" t="s">
        <v>232</v>
      </c>
      <c r="L16" s="4" t="s">
        <v>132</v>
      </c>
      <c r="M16" s="4" t="s">
        <v>108</v>
      </c>
      <c r="N16" s="4" t="s">
        <v>108</v>
      </c>
      <c r="O16" s="4" t="s">
        <v>109</v>
      </c>
      <c r="P16" s="4" t="s">
        <v>148</v>
      </c>
      <c r="Q16" s="4" t="s">
        <v>111</v>
      </c>
      <c r="R16" s="4" t="s">
        <v>233</v>
      </c>
      <c r="S16" s="4" t="s">
        <v>234</v>
      </c>
      <c r="T16" s="4" t="s">
        <v>114</v>
      </c>
      <c r="U16" s="4" t="s">
        <v>115</v>
      </c>
      <c r="V16" s="4" t="s">
        <v>111</v>
      </c>
      <c r="W16" s="4" t="s">
        <v>116</v>
      </c>
      <c r="X16" s="4" t="s">
        <v>235</v>
      </c>
      <c r="Y16" s="4" t="s">
        <v>118</v>
      </c>
      <c r="Z16" s="4" t="s">
        <v>119</v>
      </c>
      <c r="AA16" s="12" t="s">
        <v>236</v>
      </c>
      <c r="AB16" s="12" t="s">
        <v>237</v>
      </c>
      <c r="AC16" s="12" t="s">
        <v>122</v>
      </c>
      <c r="AD16" s="12" t="s">
        <v>123</v>
      </c>
    </row>
    <row r="17" customFormat="false" ht="46.25" hidden="false" customHeight="false" outlineLevel="0" collapsed="false">
      <c r="A17" s="4" t="s">
        <v>238</v>
      </c>
      <c r="B17" s="4" t="s">
        <v>175</v>
      </c>
      <c r="C17" s="4" t="s">
        <v>239</v>
      </c>
      <c r="D17" s="4" t="s">
        <v>98</v>
      </c>
      <c r="E17" s="4" t="s">
        <v>126</v>
      </c>
      <c r="F17" s="4" t="s">
        <v>240</v>
      </c>
      <c r="G17" s="4" t="s">
        <v>128</v>
      </c>
      <c r="H17" s="4" t="s">
        <v>102</v>
      </c>
      <c r="I17" s="4" t="s">
        <v>104</v>
      </c>
      <c r="J17" s="4" t="s">
        <v>241</v>
      </c>
      <c r="K17" s="4" t="s">
        <v>242</v>
      </c>
      <c r="L17" s="4" t="s">
        <v>106</v>
      </c>
      <c r="M17" s="4" t="s">
        <v>243</v>
      </c>
      <c r="N17" s="4" t="s">
        <v>108</v>
      </c>
      <c r="O17" s="4" t="s">
        <v>109</v>
      </c>
      <c r="P17" s="4" t="s">
        <v>244</v>
      </c>
      <c r="Q17" s="4" t="s">
        <v>111</v>
      </c>
      <c r="R17" s="4" t="s">
        <v>245</v>
      </c>
      <c r="S17" s="4" t="s">
        <v>246</v>
      </c>
      <c r="T17" s="4" t="s">
        <v>136</v>
      </c>
      <c r="U17" s="4" t="s">
        <v>115</v>
      </c>
      <c r="V17" s="4" t="s">
        <v>181</v>
      </c>
      <c r="W17" s="4" t="s">
        <v>247</v>
      </c>
      <c r="X17" s="4" t="s">
        <v>248</v>
      </c>
      <c r="Y17" s="4" t="s">
        <v>249</v>
      </c>
      <c r="Z17" s="4" t="s">
        <v>250</v>
      </c>
      <c r="AA17" s="12" t="s">
        <v>251</v>
      </c>
      <c r="AB17" s="12" t="s">
        <v>188</v>
      </c>
      <c r="AC17" s="12" t="s">
        <v>189</v>
      </c>
      <c r="AD17" s="12" t="s">
        <v>123</v>
      </c>
    </row>
    <row r="18" customFormat="false" ht="35.05" hidden="false" customHeight="false" outlineLevel="0" collapsed="false">
      <c r="A18" s="4" t="s">
        <v>252</v>
      </c>
      <c r="B18" s="4" t="s">
        <v>253</v>
      </c>
      <c r="C18" s="4" t="s">
        <v>254</v>
      </c>
      <c r="D18" s="4" t="s">
        <v>98</v>
      </c>
      <c r="E18" s="4" t="s">
        <v>255</v>
      </c>
      <c r="F18" s="4" t="s">
        <v>256</v>
      </c>
      <c r="G18" s="4" t="s">
        <v>128</v>
      </c>
      <c r="H18" s="4" t="s">
        <v>106</v>
      </c>
      <c r="I18" s="4" t="s">
        <v>147</v>
      </c>
      <c r="J18" s="4" t="s">
        <v>103</v>
      </c>
      <c r="K18" s="4" t="s">
        <v>257</v>
      </c>
      <c r="L18" s="4" t="s">
        <v>132</v>
      </c>
      <c r="M18" s="4" t="s">
        <v>258</v>
      </c>
      <c r="N18" s="4" t="s">
        <v>258</v>
      </c>
      <c r="O18" s="4" t="s">
        <v>259</v>
      </c>
      <c r="P18" s="4" t="s">
        <v>260</v>
      </c>
      <c r="Q18" s="4" t="s">
        <v>111</v>
      </c>
      <c r="R18" s="4" t="s">
        <v>261</v>
      </c>
      <c r="S18" s="4" t="s">
        <v>262</v>
      </c>
      <c r="T18" s="4" t="s">
        <v>114</v>
      </c>
      <c r="U18" s="4" t="s">
        <v>115</v>
      </c>
      <c r="V18" s="4" t="s">
        <v>111</v>
      </c>
      <c r="W18" s="4" t="s">
        <v>263</v>
      </c>
      <c r="X18" s="4" t="s">
        <v>264</v>
      </c>
      <c r="Y18" s="4" t="s">
        <v>265</v>
      </c>
      <c r="Z18" s="4" t="s">
        <v>266</v>
      </c>
      <c r="AA18" s="12" t="s">
        <v>236</v>
      </c>
      <c r="AB18" s="12" t="s">
        <v>237</v>
      </c>
      <c r="AC18" s="12" t="s">
        <v>122</v>
      </c>
      <c r="AD18" s="12" t="s">
        <v>123</v>
      </c>
    </row>
    <row r="19" customFormat="false" ht="35.05" hidden="false" customHeight="false" outlineLevel="0" collapsed="false">
      <c r="A19" s="4" t="s">
        <v>267</v>
      </c>
      <c r="B19" s="4" t="s">
        <v>145</v>
      </c>
      <c r="C19" s="4" t="s">
        <v>268</v>
      </c>
      <c r="D19" s="4" t="s">
        <v>98</v>
      </c>
      <c r="E19" s="4" t="s">
        <v>126</v>
      </c>
      <c r="F19" s="4" t="s">
        <v>178</v>
      </c>
      <c r="G19" s="4" t="s">
        <v>101</v>
      </c>
      <c r="H19" s="4" t="s">
        <v>206</v>
      </c>
      <c r="I19" s="4" t="s">
        <v>104</v>
      </c>
      <c r="J19" s="4" t="s">
        <v>130</v>
      </c>
      <c r="K19" s="4" t="s">
        <v>269</v>
      </c>
      <c r="L19" s="4" t="s">
        <v>106</v>
      </c>
      <c r="M19" s="4" t="s">
        <v>207</v>
      </c>
      <c r="N19" s="4" t="s">
        <v>108</v>
      </c>
      <c r="O19" s="4" t="s">
        <v>109</v>
      </c>
      <c r="P19" s="4" t="s">
        <v>270</v>
      </c>
      <c r="Q19" s="4" t="s">
        <v>181</v>
      </c>
      <c r="R19" s="4" t="s">
        <v>184</v>
      </c>
      <c r="S19" s="4" t="s">
        <v>271</v>
      </c>
      <c r="T19" s="4" t="s">
        <v>136</v>
      </c>
      <c r="U19" s="4" t="s">
        <v>115</v>
      </c>
      <c r="V19" s="4" t="s">
        <v>111</v>
      </c>
      <c r="W19" s="4" t="s">
        <v>184</v>
      </c>
      <c r="X19" s="4" t="s">
        <v>272</v>
      </c>
      <c r="Y19" s="4" t="s">
        <v>186</v>
      </c>
      <c r="Z19" s="4" t="s">
        <v>187</v>
      </c>
      <c r="AA19" s="12" t="s">
        <v>141</v>
      </c>
      <c r="AB19" s="12" t="s">
        <v>188</v>
      </c>
      <c r="AC19" s="12" t="s">
        <v>189</v>
      </c>
      <c r="AD19" s="12" t="s">
        <v>123</v>
      </c>
    </row>
    <row r="20" customFormat="false" ht="35.05" hidden="false" customHeight="false" outlineLevel="0" collapsed="false">
      <c r="A20" s="4" t="s">
        <v>273</v>
      </c>
      <c r="B20" s="4" t="s">
        <v>229</v>
      </c>
      <c r="C20" s="4" t="s">
        <v>274</v>
      </c>
      <c r="D20" s="4" t="s">
        <v>98</v>
      </c>
      <c r="E20" s="4" t="s">
        <v>275</v>
      </c>
      <c r="F20" s="4" t="s">
        <v>178</v>
      </c>
      <c r="G20" s="4" t="s">
        <v>128</v>
      </c>
      <c r="H20" s="4" t="s">
        <v>102</v>
      </c>
      <c r="I20" s="4" t="s">
        <v>104</v>
      </c>
      <c r="J20" s="4" t="s">
        <v>103</v>
      </c>
      <c r="K20" s="4" t="s">
        <v>105</v>
      </c>
      <c r="L20" s="4" t="s">
        <v>132</v>
      </c>
      <c r="M20" s="4" t="s">
        <v>108</v>
      </c>
      <c r="N20" s="4" t="s">
        <v>108</v>
      </c>
      <c r="O20" s="4" t="s">
        <v>171</v>
      </c>
      <c r="P20" s="4" t="s">
        <v>276</v>
      </c>
      <c r="Q20" s="4" t="s">
        <v>181</v>
      </c>
      <c r="R20" s="4" t="s">
        <v>199</v>
      </c>
      <c r="S20" s="4" t="s">
        <v>212</v>
      </c>
      <c r="T20" s="4" t="s">
        <v>136</v>
      </c>
      <c r="U20" s="4" t="s">
        <v>136</v>
      </c>
      <c r="V20" s="4" t="s">
        <v>111</v>
      </c>
      <c r="W20" s="4" t="s">
        <v>213</v>
      </c>
      <c r="X20" s="4" t="s">
        <v>277</v>
      </c>
      <c r="Y20" s="4" t="s">
        <v>215</v>
      </c>
      <c r="Z20" s="4" t="s">
        <v>187</v>
      </c>
      <c r="AA20" s="12" t="s">
        <v>120</v>
      </c>
      <c r="AB20" s="12" t="s">
        <v>217</v>
      </c>
      <c r="AC20" s="12" t="s">
        <v>143</v>
      </c>
      <c r="AD20" s="12" t="s">
        <v>218</v>
      </c>
    </row>
    <row r="21" customFormat="false" ht="35.05" hidden="false" customHeight="false" outlineLevel="0" collapsed="false">
      <c r="A21" s="4" t="s">
        <v>278</v>
      </c>
      <c r="B21" s="4" t="s">
        <v>279</v>
      </c>
      <c r="C21" s="4" t="s">
        <v>176</v>
      </c>
      <c r="D21" s="4" t="s">
        <v>98</v>
      </c>
      <c r="E21" s="4" t="s">
        <v>154</v>
      </c>
      <c r="F21" s="4" t="s">
        <v>256</v>
      </c>
      <c r="G21" s="4" t="s">
        <v>128</v>
      </c>
      <c r="H21" s="4" t="s">
        <v>106</v>
      </c>
      <c r="I21" s="4" t="s">
        <v>147</v>
      </c>
      <c r="J21" s="4" t="s">
        <v>241</v>
      </c>
      <c r="K21" s="4" t="s">
        <v>105</v>
      </c>
      <c r="L21" s="4" t="s">
        <v>197</v>
      </c>
      <c r="M21" s="4" t="s">
        <v>258</v>
      </c>
      <c r="N21" s="4" t="s">
        <v>258</v>
      </c>
      <c r="O21" s="4" t="s">
        <v>259</v>
      </c>
      <c r="P21" s="4" t="s">
        <v>260</v>
      </c>
      <c r="Q21" s="4" t="s">
        <v>111</v>
      </c>
      <c r="R21" s="4" t="s">
        <v>280</v>
      </c>
      <c r="S21" s="4" t="s">
        <v>262</v>
      </c>
      <c r="T21" s="4" t="s">
        <v>114</v>
      </c>
      <c r="U21" s="4" t="s">
        <v>115</v>
      </c>
      <c r="V21" s="4" t="s">
        <v>111</v>
      </c>
      <c r="W21" s="4" t="s">
        <v>263</v>
      </c>
      <c r="X21" s="4" t="s">
        <v>264</v>
      </c>
      <c r="Y21" s="4" t="s">
        <v>281</v>
      </c>
      <c r="Z21" s="4" t="s">
        <v>282</v>
      </c>
      <c r="AA21" s="12" t="s">
        <v>120</v>
      </c>
      <c r="AB21" s="12" t="s">
        <v>283</v>
      </c>
      <c r="AC21" s="12" t="s">
        <v>122</v>
      </c>
      <c r="AD21" s="12" t="s">
        <v>123</v>
      </c>
    </row>
    <row r="22" customFormat="false" ht="35.05" hidden="false" customHeight="false" outlineLevel="0" collapsed="false">
      <c r="A22" s="4" t="s">
        <v>284</v>
      </c>
      <c r="B22" s="4" t="s">
        <v>285</v>
      </c>
      <c r="C22" s="4" t="s">
        <v>286</v>
      </c>
      <c r="D22" s="4" t="s">
        <v>98</v>
      </c>
      <c r="E22" s="4" t="s">
        <v>287</v>
      </c>
      <c r="F22" s="4" t="s">
        <v>178</v>
      </c>
      <c r="G22" s="4" t="s">
        <v>101</v>
      </c>
      <c r="H22" s="4" t="s">
        <v>102</v>
      </c>
      <c r="I22" s="4" t="s">
        <v>104</v>
      </c>
      <c r="J22" s="4" t="s">
        <v>241</v>
      </c>
      <c r="K22" s="4" t="s">
        <v>105</v>
      </c>
      <c r="L22" s="4" t="s">
        <v>132</v>
      </c>
      <c r="M22" s="4" t="s">
        <v>108</v>
      </c>
      <c r="N22" s="4" t="s">
        <v>108</v>
      </c>
      <c r="O22" s="4" t="s">
        <v>109</v>
      </c>
      <c r="P22" s="4" t="s">
        <v>276</v>
      </c>
      <c r="Q22" s="4" t="s">
        <v>181</v>
      </c>
      <c r="R22" s="4" t="s">
        <v>288</v>
      </c>
      <c r="S22" s="4" t="s">
        <v>271</v>
      </c>
      <c r="T22" s="4" t="s">
        <v>115</v>
      </c>
      <c r="U22" s="4" t="s">
        <v>136</v>
      </c>
      <c r="V22" s="4" t="s">
        <v>111</v>
      </c>
      <c r="W22" s="4" t="s">
        <v>213</v>
      </c>
      <c r="X22" s="4" t="s">
        <v>214</v>
      </c>
      <c r="Y22" s="4" t="s">
        <v>186</v>
      </c>
      <c r="Z22" s="4" t="s">
        <v>216</v>
      </c>
      <c r="AA22" s="12" t="s">
        <v>120</v>
      </c>
      <c r="AB22" s="12" t="s">
        <v>217</v>
      </c>
      <c r="AC22" s="12" t="s">
        <v>143</v>
      </c>
      <c r="AD22" s="12" t="s">
        <v>218</v>
      </c>
    </row>
    <row r="23" customFormat="false" ht="46.25" hidden="false" customHeight="false" outlineLevel="0" collapsed="false">
      <c r="A23" s="4" t="s">
        <v>289</v>
      </c>
      <c r="B23" s="4" t="s">
        <v>279</v>
      </c>
      <c r="C23" s="4" t="s">
        <v>239</v>
      </c>
      <c r="D23" s="4" t="s">
        <v>98</v>
      </c>
      <c r="E23" s="4" t="s">
        <v>290</v>
      </c>
      <c r="F23" s="4" t="s">
        <v>178</v>
      </c>
      <c r="G23" s="4" t="s">
        <v>163</v>
      </c>
      <c r="H23" s="4" t="s">
        <v>102</v>
      </c>
      <c r="I23" s="4" t="s">
        <v>103</v>
      </c>
      <c r="J23" s="4" t="s">
        <v>147</v>
      </c>
      <c r="K23" s="4" t="s">
        <v>242</v>
      </c>
      <c r="L23" s="4" t="s">
        <v>106</v>
      </c>
      <c r="M23" s="4" t="s">
        <v>108</v>
      </c>
      <c r="N23" s="4" t="s">
        <v>108</v>
      </c>
      <c r="O23" s="4" t="s">
        <v>171</v>
      </c>
      <c r="P23" s="4" t="s">
        <v>276</v>
      </c>
      <c r="Q23" s="4" t="s">
        <v>111</v>
      </c>
      <c r="R23" s="4" t="s">
        <v>182</v>
      </c>
      <c r="S23" s="4" t="s">
        <v>271</v>
      </c>
      <c r="T23" s="4" t="s">
        <v>136</v>
      </c>
      <c r="U23" s="4" t="s">
        <v>115</v>
      </c>
      <c r="V23" s="4" t="s">
        <v>111</v>
      </c>
      <c r="W23" s="4" t="s">
        <v>213</v>
      </c>
      <c r="X23" s="4" t="s">
        <v>214</v>
      </c>
      <c r="Y23" s="4" t="s">
        <v>201</v>
      </c>
      <c r="Z23" s="4" t="s">
        <v>216</v>
      </c>
      <c r="AA23" s="12" t="s">
        <v>251</v>
      </c>
      <c r="AB23" s="12" t="s">
        <v>188</v>
      </c>
      <c r="AC23" s="12" t="s">
        <v>189</v>
      </c>
      <c r="AD23" s="12" t="s">
        <v>123</v>
      </c>
    </row>
    <row r="24" customFormat="false" ht="35.05" hidden="false" customHeight="false" outlineLevel="0" collapsed="false">
      <c r="A24" s="4" t="s">
        <v>291</v>
      </c>
      <c r="B24" s="4" t="s">
        <v>285</v>
      </c>
      <c r="C24" s="4" t="s">
        <v>286</v>
      </c>
      <c r="D24" s="4" t="s">
        <v>98</v>
      </c>
      <c r="E24" s="4" t="s">
        <v>192</v>
      </c>
      <c r="F24" s="4" t="s">
        <v>240</v>
      </c>
      <c r="G24" s="4" t="s">
        <v>101</v>
      </c>
      <c r="H24" s="4" t="s">
        <v>129</v>
      </c>
      <c r="I24" s="4" t="s">
        <v>103</v>
      </c>
      <c r="J24" s="4" t="s">
        <v>241</v>
      </c>
      <c r="K24" s="4" t="s">
        <v>292</v>
      </c>
      <c r="L24" s="4" t="s">
        <v>132</v>
      </c>
      <c r="M24" s="4" t="s">
        <v>293</v>
      </c>
      <c r="N24" s="4" t="s">
        <v>294</v>
      </c>
      <c r="O24" s="4" t="s">
        <v>171</v>
      </c>
      <c r="P24" s="4" t="s">
        <v>148</v>
      </c>
      <c r="Q24" s="4" t="s">
        <v>111</v>
      </c>
      <c r="R24" s="4" t="s">
        <v>295</v>
      </c>
      <c r="S24" s="4" t="s">
        <v>246</v>
      </c>
      <c r="T24" s="4" t="s">
        <v>114</v>
      </c>
      <c r="U24" s="4" t="s">
        <v>115</v>
      </c>
      <c r="V24" s="4" t="s">
        <v>111</v>
      </c>
      <c r="W24" s="4" t="s">
        <v>296</v>
      </c>
      <c r="X24" s="4" t="s">
        <v>297</v>
      </c>
      <c r="Y24" s="4" t="s">
        <v>298</v>
      </c>
      <c r="Z24" s="4" t="s">
        <v>299</v>
      </c>
      <c r="AA24" s="12" t="s">
        <v>120</v>
      </c>
      <c r="AB24" s="12" t="s">
        <v>217</v>
      </c>
      <c r="AC24" s="12" t="s">
        <v>143</v>
      </c>
      <c r="AD24" s="12" t="s">
        <v>123</v>
      </c>
    </row>
    <row r="25" customFormat="false" ht="23.85" hidden="false" customHeight="false" outlineLevel="0" collapsed="false">
      <c r="A25" s="4" t="s">
        <v>300</v>
      </c>
      <c r="B25" s="4" t="s">
        <v>145</v>
      </c>
      <c r="C25" s="4" t="s">
        <v>153</v>
      </c>
      <c r="D25" s="4" t="s">
        <v>98</v>
      </c>
      <c r="E25" s="4" t="s">
        <v>255</v>
      </c>
      <c r="F25" s="4" t="s">
        <v>127</v>
      </c>
      <c r="G25" s="4" t="s">
        <v>101</v>
      </c>
      <c r="H25" s="4" t="s">
        <v>101</v>
      </c>
      <c r="I25" s="4" t="s">
        <v>104</v>
      </c>
      <c r="J25" s="4" t="s">
        <v>147</v>
      </c>
      <c r="K25" s="4" t="s">
        <v>301</v>
      </c>
      <c r="L25" s="4" t="s">
        <v>132</v>
      </c>
      <c r="M25" s="4" t="s">
        <v>108</v>
      </c>
      <c r="N25" s="4" t="s">
        <v>108</v>
      </c>
      <c r="O25" s="4" t="s">
        <v>109</v>
      </c>
      <c r="P25" s="4" t="s">
        <v>148</v>
      </c>
      <c r="Q25" s="4" t="s">
        <v>181</v>
      </c>
      <c r="R25" s="4" t="s">
        <v>302</v>
      </c>
      <c r="S25" s="4" t="s">
        <v>165</v>
      </c>
      <c r="T25" s="4" t="s">
        <v>114</v>
      </c>
      <c r="U25" s="4" t="s">
        <v>115</v>
      </c>
      <c r="V25" s="4" t="s">
        <v>111</v>
      </c>
      <c r="W25" s="4" t="s">
        <v>137</v>
      </c>
      <c r="X25" s="4" t="s">
        <v>193</v>
      </c>
      <c r="Y25" s="4" t="s">
        <v>194</v>
      </c>
      <c r="Z25" s="4" t="s">
        <v>303</v>
      </c>
      <c r="AA25" s="12" t="s">
        <v>120</v>
      </c>
      <c r="AB25" s="12" t="s">
        <v>121</v>
      </c>
      <c r="AC25" s="12" t="s">
        <v>122</v>
      </c>
      <c r="AD25" s="12" t="s">
        <v>123</v>
      </c>
    </row>
    <row r="26" customFormat="false" ht="46.25" hidden="false" customHeight="false" outlineLevel="0" collapsed="false">
      <c r="A26" s="4" t="s">
        <v>304</v>
      </c>
      <c r="B26" s="4" t="s">
        <v>279</v>
      </c>
      <c r="C26" s="4" t="s">
        <v>305</v>
      </c>
      <c r="D26" s="4" t="s">
        <v>98</v>
      </c>
      <c r="E26" s="4" t="s">
        <v>306</v>
      </c>
      <c r="F26" s="4" t="s">
        <v>178</v>
      </c>
      <c r="G26" s="4" t="s">
        <v>101</v>
      </c>
      <c r="H26" s="4" t="s">
        <v>206</v>
      </c>
      <c r="I26" s="4" t="s">
        <v>103</v>
      </c>
      <c r="J26" s="4" t="s">
        <v>147</v>
      </c>
      <c r="K26" s="4" t="s">
        <v>307</v>
      </c>
      <c r="L26" s="4" t="s">
        <v>132</v>
      </c>
      <c r="M26" s="4" t="s">
        <v>108</v>
      </c>
      <c r="N26" s="4" t="s">
        <v>108</v>
      </c>
      <c r="O26" s="4" t="s">
        <v>208</v>
      </c>
      <c r="P26" s="4" t="s">
        <v>209</v>
      </c>
      <c r="Q26" s="4" t="s">
        <v>181</v>
      </c>
      <c r="R26" s="4" t="s">
        <v>199</v>
      </c>
      <c r="S26" s="4" t="s">
        <v>271</v>
      </c>
      <c r="T26" s="4" t="s">
        <v>136</v>
      </c>
      <c r="U26" s="4" t="s">
        <v>136</v>
      </c>
      <c r="V26" s="4" t="s">
        <v>111</v>
      </c>
      <c r="W26" s="4" t="s">
        <v>184</v>
      </c>
      <c r="X26" s="4" t="s">
        <v>277</v>
      </c>
      <c r="Y26" s="4" t="s">
        <v>186</v>
      </c>
      <c r="Z26" s="4" t="s">
        <v>308</v>
      </c>
      <c r="AA26" s="12" t="s">
        <v>236</v>
      </c>
      <c r="AB26" s="12" t="s">
        <v>237</v>
      </c>
      <c r="AC26" s="12" t="s">
        <v>122</v>
      </c>
      <c r="AD26" s="12" t="s">
        <v>218</v>
      </c>
    </row>
    <row r="27" customFormat="false" ht="35.05" hidden="false" customHeight="false" outlineLevel="0" collapsed="false">
      <c r="A27" s="4" t="s">
        <v>309</v>
      </c>
      <c r="B27" s="4" t="s">
        <v>96</v>
      </c>
      <c r="C27" s="4" t="s">
        <v>268</v>
      </c>
      <c r="D27" s="4" t="s">
        <v>98</v>
      </c>
      <c r="E27" s="4" t="s">
        <v>126</v>
      </c>
      <c r="F27" s="4" t="s">
        <v>240</v>
      </c>
      <c r="G27" s="4" t="s">
        <v>163</v>
      </c>
      <c r="H27" s="4" t="s">
        <v>101</v>
      </c>
      <c r="I27" s="4" t="s">
        <v>104</v>
      </c>
      <c r="J27" s="4" t="s">
        <v>104</v>
      </c>
      <c r="K27" s="4" t="s">
        <v>269</v>
      </c>
      <c r="L27" s="4" t="s">
        <v>132</v>
      </c>
      <c r="M27" s="4" t="s">
        <v>310</v>
      </c>
      <c r="N27" s="4" t="s">
        <v>294</v>
      </c>
      <c r="O27" s="4" t="s">
        <v>171</v>
      </c>
      <c r="P27" s="4" t="s">
        <v>244</v>
      </c>
      <c r="Q27" s="4" t="s">
        <v>181</v>
      </c>
      <c r="R27" s="4" t="s">
        <v>311</v>
      </c>
      <c r="S27" s="4" t="s">
        <v>312</v>
      </c>
      <c r="T27" s="4" t="s">
        <v>115</v>
      </c>
      <c r="U27" s="4" t="s">
        <v>115</v>
      </c>
      <c r="V27" s="4" t="s">
        <v>111</v>
      </c>
      <c r="W27" s="4" t="s">
        <v>313</v>
      </c>
      <c r="X27" s="4" t="s">
        <v>314</v>
      </c>
      <c r="Y27" s="4" t="s">
        <v>298</v>
      </c>
      <c r="Z27" s="4" t="s">
        <v>250</v>
      </c>
      <c r="AA27" s="12" t="s">
        <v>141</v>
      </c>
      <c r="AB27" s="12" t="s">
        <v>188</v>
      </c>
      <c r="AC27" s="12" t="s">
        <v>189</v>
      </c>
      <c r="AD27" s="12" t="s">
        <v>123</v>
      </c>
    </row>
    <row r="28" customFormat="false" ht="46.25" hidden="false" customHeight="false" outlineLevel="0" collapsed="false">
      <c r="A28" s="4" t="s">
        <v>315</v>
      </c>
      <c r="B28" s="4" t="s">
        <v>229</v>
      </c>
      <c r="C28" s="4" t="s">
        <v>191</v>
      </c>
      <c r="D28" s="4" t="s">
        <v>98</v>
      </c>
      <c r="E28" s="4" t="s">
        <v>126</v>
      </c>
      <c r="F28" s="4" t="s">
        <v>178</v>
      </c>
      <c r="G28" s="4" t="s">
        <v>128</v>
      </c>
      <c r="H28" s="4" t="s">
        <v>206</v>
      </c>
      <c r="I28" s="4" t="s">
        <v>103</v>
      </c>
      <c r="J28" s="4" t="s">
        <v>241</v>
      </c>
      <c r="K28" s="4" t="s">
        <v>242</v>
      </c>
      <c r="L28" s="4" t="s">
        <v>106</v>
      </c>
      <c r="M28" s="4" t="s">
        <v>107</v>
      </c>
      <c r="N28" s="4" t="s">
        <v>108</v>
      </c>
      <c r="O28" s="4" t="s">
        <v>171</v>
      </c>
      <c r="P28" s="4" t="s">
        <v>270</v>
      </c>
      <c r="Q28" s="4" t="s">
        <v>210</v>
      </c>
      <c r="R28" s="4" t="s">
        <v>211</v>
      </c>
      <c r="S28" s="4" t="s">
        <v>271</v>
      </c>
      <c r="T28" s="4" t="s">
        <v>115</v>
      </c>
      <c r="U28" s="4" t="s">
        <v>136</v>
      </c>
      <c r="V28" s="4" t="s">
        <v>181</v>
      </c>
      <c r="W28" s="4" t="s">
        <v>184</v>
      </c>
      <c r="X28" s="4" t="s">
        <v>277</v>
      </c>
      <c r="Y28" s="4" t="s">
        <v>186</v>
      </c>
      <c r="Z28" s="4" t="s">
        <v>308</v>
      </c>
      <c r="AA28" s="12" t="s">
        <v>251</v>
      </c>
      <c r="AB28" s="12" t="s">
        <v>188</v>
      </c>
      <c r="AC28" s="12" t="s">
        <v>189</v>
      </c>
      <c r="AD28" s="12" t="s">
        <v>123</v>
      </c>
    </row>
    <row r="29" customFormat="false" ht="35.05" hidden="false" customHeight="false" outlineLevel="0" collapsed="false">
      <c r="A29" s="4" t="s">
        <v>316</v>
      </c>
      <c r="B29" s="4" t="s">
        <v>317</v>
      </c>
      <c r="C29" s="4" t="s">
        <v>274</v>
      </c>
      <c r="D29" s="4" t="s">
        <v>98</v>
      </c>
      <c r="E29" s="4" t="s">
        <v>192</v>
      </c>
      <c r="F29" s="4" t="s">
        <v>100</v>
      </c>
      <c r="G29" s="4" t="s">
        <v>163</v>
      </c>
      <c r="H29" s="4" t="s">
        <v>128</v>
      </c>
      <c r="I29" s="4" t="s">
        <v>103</v>
      </c>
      <c r="J29" s="4" t="s">
        <v>104</v>
      </c>
      <c r="K29" s="4" t="s">
        <v>232</v>
      </c>
      <c r="L29" s="4" t="s">
        <v>132</v>
      </c>
      <c r="M29" s="4" t="s">
        <v>108</v>
      </c>
      <c r="N29" s="4" t="s">
        <v>108</v>
      </c>
      <c r="O29" s="4" t="s">
        <v>109</v>
      </c>
      <c r="P29" s="4" t="s">
        <v>209</v>
      </c>
      <c r="Q29" s="4" t="s">
        <v>111</v>
      </c>
      <c r="R29" s="4" t="s">
        <v>318</v>
      </c>
      <c r="S29" s="4" t="s">
        <v>113</v>
      </c>
      <c r="T29" s="4" t="s">
        <v>114</v>
      </c>
      <c r="U29" s="4" t="s">
        <v>136</v>
      </c>
      <c r="V29" s="4" t="s">
        <v>181</v>
      </c>
      <c r="W29" s="4" t="s">
        <v>116</v>
      </c>
      <c r="X29" s="4" t="s">
        <v>117</v>
      </c>
      <c r="Y29" s="4" t="s">
        <v>118</v>
      </c>
      <c r="Z29" s="4" t="s">
        <v>151</v>
      </c>
      <c r="AA29" s="12" t="s">
        <v>236</v>
      </c>
      <c r="AB29" s="12" t="s">
        <v>237</v>
      </c>
      <c r="AC29" s="12" t="s">
        <v>122</v>
      </c>
      <c r="AD29" s="12" t="s">
        <v>123</v>
      </c>
    </row>
    <row r="30" customFormat="false" ht="35.05" hidden="false" customHeight="false" outlineLevel="0" collapsed="false">
      <c r="A30" s="4" t="s">
        <v>319</v>
      </c>
      <c r="B30" s="4" t="s">
        <v>160</v>
      </c>
      <c r="C30" s="4" t="s">
        <v>274</v>
      </c>
      <c r="D30" s="4" t="s">
        <v>98</v>
      </c>
      <c r="E30" s="4" t="s">
        <v>205</v>
      </c>
      <c r="F30" s="4" t="s">
        <v>240</v>
      </c>
      <c r="G30" s="4" t="s">
        <v>163</v>
      </c>
      <c r="H30" s="4" t="s">
        <v>102</v>
      </c>
      <c r="I30" s="4" t="s">
        <v>104</v>
      </c>
      <c r="J30" s="4" t="s">
        <v>103</v>
      </c>
      <c r="K30" s="4" t="s">
        <v>105</v>
      </c>
      <c r="L30" s="4" t="s">
        <v>106</v>
      </c>
      <c r="M30" s="4" t="s">
        <v>293</v>
      </c>
      <c r="N30" s="4" t="s">
        <v>258</v>
      </c>
      <c r="O30" s="4" t="s">
        <v>109</v>
      </c>
      <c r="P30" s="4" t="s">
        <v>148</v>
      </c>
      <c r="Q30" s="4" t="s">
        <v>111</v>
      </c>
      <c r="R30" s="4" t="s">
        <v>320</v>
      </c>
      <c r="S30" s="4" t="s">
        <v>321</v>
      </c>
      <c r="T30" s="4" t="s">
        <v>136</v>
      </c>
      <c r="U30" s="4" t="s">
        <v>115</v>
      </c>
      <c r="V30" s="4" t="s">
        <v>111</v>
      </c>
      <c r="W30" s="4" t="s">
        <v>296</v>
      </c>
      <c r="X30" s="4" t="s">
        <v>248</v>
      </c>
      <c r="Y30" s="4" t="s">
        <v>298</v>
      </c>
      <c r="Z30" s="4" t="s">
        <v>299</v>
      </c>
      <c r="AA30" s="12" t="s">
        <v>120</v>
      </c>
      <c r="AB30" s="12" t="s">
        <v>283</v>
      </c>
      <c r="AC30" s="12" t="s">
        <v>122</v>
      </c>
      <c r="AD30" s="12" t="s">
        <v>123</v>
      </c>
    </row>
    <row r="31" customFormat="false" ht="23.85" hidden="false" customHeight="false" outlineLevel="0" collapsed="false">
      <c r="A31" s="4" t="s">
        <v>322</v>
      </c>
      <c r="B31" s="4" t="s">
        <v>196</v>
      </c>
      <c r="C31" s="4" t="s">
        <v>239</v>
      </c>
      <c r="D31" s="4" t="s">
        <v>98</v>
      </c>
      <c r="E31" s="4" t="s">
        <v>170</v>
      </c>
      <c r="F31" s="4" t="s">
        <v>127</v>
      </c>
      <c r="G31" s="4" t="s">
        <v>163</v>
      </c>
      <c r="H31" s="4" t="s">
        <v>129</v>
      </c>
      <c r="I31" s="4" t="s">
        <v>104</v>
      </c>
      <c r="J31" s="4" t="s">
        <v>241</v>
      </c>
      <c r="K31" s="4" t="s">
        <v>301</v>
      </c>
      <c r="L31" s="4" t="s">
        <v>132</v>
      </c>
      <c r="M31" s="4" t="s">
        <v>108</v>
      </c>
      <c r="N31" s="4" t="s">
        <v>108</v>
      </c>
      <c r="O31" s="4" t="s">
        <v>109</v>
      </c>
      <c r="P31" s="4" t="s">
        <v>155</v>
      </c>
      <c r="Q31" s="4" t="s">
        <v>111</v>
      </c>
      <c r="R31" s="4" t="s">
        <v>156</v>
      </c>
      <c r="S31" s="4" t="s">
        <v>157</v>
      </c>
      <c r="T31" s="4" t="s">
        <v>136</v>
      </c>
      <c r="U31" s="4" t="s">
        <v>136</v>
      </c>
      <c r="V31" s="4" t="s">
        <v>181</v>
      </c>
      <c r="W31" s="4" t="s">
        <v>158</v>
      </c>
      <c r="X31" s="4" t="s">
        <v>193</v>
      </c>
      <c r="Y31" s="4" t="s">
        <v>194</v>
      </c>
      <c r="Z31" s="4" t="s">
        <v>303</v>
      </c>
      <c r="AA31" s="12" t="s">
        <v>120</v>
      </c>
      <c r="AB31" s="12" t="s">
        <v>121</v>
      </c>
      <c r="AC31" s="12" t="s">
        <v>122</v>
      </c>
      <c r="AD31" s="12" t="s">
        <v>123</v>
      </c>
    </row>
    <row r="32" customFormat="false" ht="35.05" hidden="false" customHeight="false" outlineLevel="0" collapsed="false">
      <c r="A32" s="4" t="s">
        <v>323</v>
      </c>
      <c r="B32" s="4" t="s">
        <v>279</v>
      </c>
      <c r="C32" s="4" t="s">
        <v>169</v>
      </c>
      <c r="D32" s="4" t="s">
        <v>98</v>
      </c>
      <c r="E32" s="4" t="s">
        <v>275</v>
      </c>
      <c r="F32" s="4" t="s">
        <v>240</v>
      </c>
      <c r="G32" s="4" t="s">
        <v>101</v>
      </c>
      <c r="H32" s="4" t="s">
        <v>102</v>
      </c>
      <c r="I32" s="4" t="s">
        <v>103</v>
      </c>
      <c r="J32" s="4" t="s">
        <v>104</v>
      </c>
      <c r="K32" s="4" t="s">
        <v>179</v>
      </c>
      <c r="L32" s="4" t="s">
        <v>132</v>
      </c>
      <c r="M32" s="4" t="s">
        <v>310</v>
      </c>
      <c r="N32" s="4" t="s">
        <v>294</v>
      </c>
      <c r="O32" s="4" t="s">
        <v>109</v>
      </c>
      <c r="P32" s="4" t="s">
        <v>148</v>
      </c>
      <c r="Q32" s="4" t="s">
        <v>181</v>
      </c>
      <c r="R32" s="4" t="s">
        <v>320</v>
      </c>
      <c r="S32" s="4" t="s">
        <v>312</v>
      </c>
      <c r="T32" s="4" t="s">
        <v>136</v>
      </c>
      <c r="U32" s="4" t="s">
        <v>115</v>
      </c>
      <c r="V32" s="4" t="s">
        <v>111</v>
      </c>
      <c r="W32" s="4" t="s">
        <v>313</v>
      </c>
      <c r="X32" s="4" t="s">
        <v>248</v>
      </c>
      <c r="Y32" s="4" t="s">
        <v>298</v>
      </c>
      <c r="Z32" s="4" t="s">
        <v>299</v>
      </c>
      <c r="AA32" s="12" t="s">
        <v>141</v>
      </c>
      <c r="AB32" s="12" t="s">
        <v>188</v>
      </c>
      <c r="AC32" s="12" t="s">
        <v>189</v>
      </c>
      <c r="AD32" s="12" t="s">
        <v>123</v>
      </c>
    </row>
    <row r="33" customFormat="false" ht="35.05" hidden="false" customHeight="false" outlineLevel="0" collapsed="false">
      <c r="A33" s="4" t="s">
        <v>324</v>
      </c>
      <c r="B33" s="4" t="s">
        <v>96</v>
      </c>
      <c r="C33" s="4" t="s">
        <v>325</v>
      </c>
      <c r="D33" s="4" t="s">
        <v>98</v>
      </c>
      <c r="E33" s="4" t="s">
        <v>290</v>
      </c>
      <c r="F33" s="4" t="s">
        <v>178</v>
      </c>
      <c r="G33" s="4" t="s">
        <v>102</v>
      </c>
      <c r="H33" s="4" t="s">
        <v>102</v>
      </c>
      <c r="I33" s="4" t="s">
        <v>104</v>
      </c>
      <c r="J33" s="4" t="s">
        <v>241</v>
      </c>
      <c r="K33" s="4" t="s">
        <v>105</v>
      </c>
      <c r="L33" s="4" t="s">
        <v>132</v>
      </c>
      <c r="M33" s="4" t="s">
        <v>108</v>
      </c>
      <c r="N33" s="4" t="s">
        <v>108</v>
      </c>
      <c r="O33" s="4" t="s">
        <v>208</v>
      </c>
      <c r="P33" s="4" t="s">
        <v>209</v>
      </c>
      <c r="Q33" s="4" t="s">
        <v>181</v>
      </c>
      <c r="R33" s="4" t="s">
        <v>199</v>
      </c>
      <c r="S33" s="4" t="s">
        <v>271</v>
      </c>
      <c r="T33" s="4" t="s">
        <v>115</v>
      </c>
      <c r="U33" s="4" t="s">
        <v>136</v>
      </c>
      <c r="V33" s="4" t="s">
        <v>111</v>
      </c>
      <c r="W33" s="4" t="s">
        <v>200</v>
      </c>
      <c r="X33" s="4" t="s">
        <v>185</v>
      </c>
      <c r="Y33" s="4" t="s">
        <v>215</v>
      </c>
      <c r="Z33" s="4" t="s">
        <v>216</v>
      </c>
      <c r="AA33" s="12" t="s">
        <v>120</v>
      </c>
      <c r="AB33" s="12" t="s">
        <v>217</v>
      </c>
      <c r="AC33" s="12" t="s">
        <v>143</v>
      </c>
      <c r="AD33" s="12" t="s">
        <v>123</v>
      </c>
    </row>
    <row r="34" customFormat="false" ht="35.05" hidden="false" customHeight="false" outlineLevel="0" collapsed="false">
      <c r="A34" s="4" t="s">
        <v>326</v>
      </c>
      <c r="B34" s="4" t="s">
        <v>317</v>
      </c>
      <c r="C34" s="4" t="s">
        <v>327</v>
      </c>
      <c r="D34" s="4" t="s">
        <v>181</v>
      </c>
      <c r="E34" s="4" t="s">
        <v>328</v>
      </c>
      <c r="F34" s="4" t="s">
        <v>240</v>
      </c>
      <c r="G34" s="4" t="s">
        <v>102</v>
      </c>
      <c r="H34" s="4" t="s">
        <v>102</v>
      </c>
      <c r="I34" s="4" t="s">
        <v>147</v>
      </c>
      <c r="J34" s="4" t="s">
        <v>130</v>
      </c>
      <c r="K34" s="4" t="s">
        <v>329</v>
      </c>
      <c r="L34" s="4" t="s">
        <v>132</v>
      </c>
      <c r="M34" s="4" t="s">
        <v>293</v>
      </c>
      <c r="N34" s="4" t="s">
        <v>108</v>
      </c>
      <c r="O34" s="4" t="s">
        <v>109</v>
      </c>
      <c r="P34" s="4" t="s">
        <v>244</v>
      </c>
      <c r="Q34" s="4" t="s">
        <v>111</v>
      </c>
      <c r="R34" s="4" t="s">
        <v>330</v>
      </c>
      <c r="S34" s="4" t="s">
        <v>312</v>
      </c>
      <c r="T34" s="4" t="s">
        <v>114</v>
      </c>
      <c r="U34" s="4" t="s">
        <v>115</v>
      </c>
      <c r="V34" s="4" t="s">
        <v>111</v>
      </c>
      <c r="W34" s="4" t="s">
        <v>296</v>
      </c>
      <c r="X34" s="4" t="s">
        <v>331</v>
      </c>
      <c r="Y34" s="4" t="s">
        <v>249</v>
      </c>
      <c r="Z34" s="4" t="s">
        <v>299</v>
      </c>
      <c r="AA34" s="12" t="s">
        <v>236</v>
      </c>
      <c r="AB34" s="12" t="s">
        <v>237</v>
      </c>
      <c r="AC34" s="12" t="s">
        <v>122</v>
      </c>
      <c r="AD34" s="12" t="s">
        <v>123</v>
      </c>
    </row>
    <row r="35" customFormat="false" ht="46.25" hidden="false" customHeight="false" outlineLevel="0" collapsed="false">
      <c r="A35" s="4" t="s">
        <v>332</v>
      </c>
      <c r="B35" s="4" t="s">
        <v>96</v>
      </c>
      <c r="C35" s="4" t="s">
        <v>191</v>
      </c>
      <c r="D35" s="4" t="s">
        <v>98</v>
      </c>
      <c r="E35" s="4" t="s">
        <v>287</v>
      </c>
      <c r="F35" s="4" t="s">
        <v>178</v>
      </c>
      <c r="G35" s="4" t="s">
        <v>163</v>
      </c>
      <c r="H35" s="4" t="s">
        <v>206</v>
      </c>
      <c r="I35" s="4" t="s">
        <v>104</v>
      </c>
      <c r="J35" s="4" t="s">
        <v>147</v>
      </c>
      <c r="K35" s="4" t="s">
        <v>242</v>
      </c>
      <c r="L35" s="4" t="s">
        <v>132</v>
      </c>
      <c r="M35" s="4" t="s">
        <v>207</v>
      </c>
      <c r="N35" s="4" t="s">
        <v>108</v>
      </c>
      <c r="O35" s="4" t="s">
        <v>208</v>
      </c>
      <c r="P35" s="4" t="s">
        <v>198</v>
      </c>
      <c r="Q35" s="4" t="s">
        <v>181</v>
      </c>
      <c r="R35" s="4" t="s">
        <v>211</v>
      </c>
      <c r="S35" s="4" t="s">
        <v>212</v>
      </c>
      <c r="T35" s="4" t="s">
        <v>115</v>
      </c>
      <c r="U35" s="4" t="s">
        <v>136</v>
      </c>
      <c r="V35" s="4" t="s">
        <v>181</v>
      </c>
      <c r="W35" s="4" t="s">
        <v>200</v>
      </c>
      <c r="X35" s="4" t="s">
        <v>277</v>
      </c>
      <c r="Y35" s="4" t="s">
        <v>201</v>
      </c>
      <c r="Z35" s="4" t="s">
        <v>187</v>
      </c>
      <c r="AA35" s="12" t="s">
        <v>251</v>
      </c>
      <c r="AB35" s="12" t="s">
        <v>188</v>
      </c>
      <c r="AC35" s="12" t="s">
        <v>189</v>
      </c>
      <c r="AD35" s="12" t="s">
        <v>123</v>
      </c>
    </row>
    <row r="36" customFormat="false" ht="35.05" hidden="false" customHeight="false" outlineLevel="0" collapsed="false">
      <c r="A36" s="4" t="s">
        <v>333</v>
      </c>
      <c r="B36" s="4" t="s">
        <v>317</v>
      </c>
      <c r="C36" s="4" t="s">
        <v>176</v>
      </c>
      <c r="D36" s="4" t="s">
        <v>98</v>
      </c>
      <c r="E36" s="4" t="s">
        <v>177</v>
      </c>
      <c r="F36" s="4" t="s">
        <v>178</v>
      </c>
      <c r="G36" s="4" t="s">
        <v>163</v>
      </c>
      <c r="H36" s="4" t="s">
        <v>206</v>
      </c>
      <c r="I36" s="4" t="s">
        <v>104</v>
      </c>
      <c r="J36" s="4" t="s">
        <v>147</v>
      </c>
      <c r="K36" s="4" t="s">
        <v>179</v>
      </c>
      <c r="L36" s="4" t="s">
        <v>132</v>
      </c>
      <c r="M36" s="4" t="s">
        <v>107</v>
      </c>
      <c r="N36" s="4" t="s">
        <v>108</v>
      </c>
      <c r="O36" s="4" t="s">
        <v>208</v>
      </c>
      <c r="P36" s="4" t="s">
        <v>209</v>
      </c>
      <c r="Q36" s="4" t="s">
        <v>111</v>
      </c>
      <c r="R36" s="4" t="s">
        <v>199</v>
      </c>
      <c r="S36" s="4" t="s">
        <v>271</v>
      </c>
      <c r="T36" s="4" t="s">
        <v>136</v>
      </c>
      <c r="U36" s="4" t="s">
        <v>115</v>
      </c>
      <c r="V36" s="4" t="s">
        <v>181</v>
      </c>
      <c r="W36" s="4" t="s">
        <v>200</v>
      </c>
      <c r="X36" s="4" t="s">
        <v>214</v>
      </c>
      <c r="Y36" s="4" t="s">
        <v>201</v>
      </c>
      <c r="Z36" s="4" t="s">
        <v>216</v>
      </c>
      <c r="AA36" s="12" t="s">
        <v>141</v>
      </c>
      <c r="AB36" s="12" t="s">
        <v>188</v>
      </c>
      <c r="AC36" s="12" t="s">
        <v>189</v>
      </c>
      <c r="AD36" s="12" t="s">
        <v>123</v>
      </c>
    </row>
    <row r="37" customFormat="false" ht="23.85" hidden="false" customHeight="false" outlineLevel="0" collapsed="false">
      <c r="A37" s="4" t="s">
        <v>334</v>
      </c>
      <c r="B37" s="4" t="s">
        <v>335</v>
      </c>
      <c r="C37" s="4" t="s">
        <v>336</v>
      </c>
      <c r="D37" s="4" t="s">
        <v>98</v>
      </c>
      <c r="E37" s="4" t="s">
        <v>126</v>
      </c>
      <c r="F37" s="4" t="s">
        <v>100</v>
      </c>
      <c r="G37" s="4" t="s">
        <v>101</v>
      </c>
      <c r="H37" s="4" t="s">
        <v>101</v>
      </c>
      <c r="I37" s="4" t="s">
        <v>104</v>
      </c>
      <c r="J37" s="4" t="s">
        <v>241</v>
      </c>
      <c r="K37" s="4" t="s">
        <v>292</v>
      </c>
      <c r="L37" s="4" t="s">
        <v>132</v>
      </c>
      <c r="M37" s="4" t="s">
        <v>107</v>
      </c>
      <c r="N37" s="4" t="s">
        <v>108</v>
      </c>
      <c r="O37" s="4" t="s">
        <v>171</v>
      </c>
      <c r="P37" s="4" t="s">
        <v>110</v>
      </c>
      <c r="Q37" s="4" t="s">
        <v>111</v>
      </c>
      <c r="R37" s="4" t="s">
        <v>337</v>
      </c>
      <c r="S37" s="4" t="s">
        <v>234</v>
      </c>
      <c r="T37" s="4" t="s">
        <v>114</v>
      </c>
      <c r="U37" s="4" t="s">
        <v>136</v>
      </c>
      <c r="V37" s="4" t="s">
        <v>111</v>
      </c>
      <c r="W37" s="4" t="s">
        <v>150</v>
      </c>
      <c r="X37" s="4" t="s">
        <v>338</v>
      </c>
      <c r="Y37" s="4" t="s">
        <v>173</v>
      </c>
      <c r="Z37" s="4" t="s">
        <v>119</v>
      </c>
      <c r="AA37" s="12" t="s">
        <v>120</v>
      </c>
      <c r="AB37" s="12" t="s">
        <v>121</v>
      </c>
      <c r="AC37" s="12" t="s">
        <v>122</v>
      </c>
      <c r="AD37" s="12" t="s">
        <v>218</v>
      </c>
    </row>
    <row r="38" customFormat="false" ht="35.05" hidden="false" customHeight="false" outlineLevel="0" collapsed="false">
      <c r="A38" s="4" t="s">
        <v>339</v>
      </c>
      <c r="B38" s="4" t="s">
        <v>203</v>
      </c>
      <c r="C38" s="4" t="s">
        <v>230</v>
      </c>
      <c r="D38" s="4" t="s">
        <v>98</v>
      </c>
      <c r="E38" s="4" t="s">
        <v>287</v>
      </c>
      <c r="F38" s="4" t="s">
        <v>178</v>
      </c>
      <c r="G38" s="4" t="s">
        <v>102</v>
      </c>
      <c r="H38" s="4" t="s">
        <v>206</v>
      </c>
      <c r="I38" s="4" t="s">
        <v>104</v>
      </c>
      <c r="J38" s="4" t="s">
        <v>130</v>
      </c>
      <c r="K38" s="4" t="s">
        <v>105</v>
      </c>
      <c r="L38" s="4" t="s">
        <v>132</v>
      </c>
      <c r="M38" s="4" t="s">
        <v>107</v>
      </c>
      <c r="N38" s="4" t="s">
        <v>108</v>
      </c>
      <c r="O38" s="4" t="s">
        <v>109</v>
      </c>
      <c r="P38" s="4" t="s">
        <v>276</v>
      </c>
      <c r="Q38" s="4" t="s">
        <v>111</v>
      </c>
      <c r="R38" s="4" t="s">
        <v>211</v>
      </c>
      <c r="S38" s="4" t="s">
        <v>183</v>
      </c>
      <c r="T38" s="4" t="s">
        <v>136</v>
      </c>
      <c r="U38" s="4" t="s">
        <v>136</v>
      </c>
      <c r="V38" s="4" t="s">
        <v>111</v>
      </c>
      <c r="W38" s="4" t="s">
        <v>200</v>
      </c>
      <c r="X38" s="4" t="s">
        <v>214</v>
      </c>
      <c r="Y38" s="4" t="s">
        <v>186</v>
      </c>
      <c r="Z38" s="4" t="s">
        <v>187</v>
      </c>
      <c r="AA38" s="12" t="s">
        <v>120</v>
      </c>
      <c r="AB38" s="12" t="s">
        <v>217</v>
      </c>
      <c r="AC38" s="12" t="s">
        <v>143</v>
      </c>
      <c r="AD38" s="12" t="s">
        <v>218</v>
      </c>
    </row>
    <row r="39" customFormat="false" ht="35.05" hidden="false" customHeight="false" outlineLevel="0" collapsed="false">
      <c r="A39" s="4" t="s">
        <v>340</v>
      </c>
      <c r="B39" s="4" t="s">
        <v>196</v>
      </c>
      <c r="C39" s="4" t="s">
        <v>227</v>
      </c>
      <c r="D39" s="4" t="s">
        <v>98</v>
      </c>
      <c r="E39" s="4" t="s">
        <v>154</v>
      </c>
      <c r="F39" s="4" t="s">
        <v>178</v>
      </c>
      <c r="G39" s="4" t="s">
        <v>128</v>
      </c>
      <c r="H39" s="4" t="s">
        <v>206</v>
      </c>
      <c r="I39" s="4" t="s">
        <v>104</v>
      </c>
      <c r="J39" s="4" t="s">
        <v>130</v>
      </c>
      <c r="K39" s="4" t="s">
        <v>105</v>
      </c>
      <c r="L39" s="4" t="s">
        <v>197</v>
      </c>
      <c r="M39" s="4" t="s">
        <v>107</v>
      </c>
      <c r="N39" s="4" t="s">
        <v>108</v>
      </c>
      <c r="O39" s="4" t="s">
        <v>208</v>
      </c>
      <c r="P39" s="4" t="s">
        <v>180</v>
      </c>
      <c r="Q39" s="4" t="s">
        <v>181</v>
      </c>
      <c r="R39" s="4" t="s">
        <v>288</v>
      </c>
      <c r="S39" s="4" t="s">
        <v>183</v>
      </c>
      <c r="T39" s="4" t="s">
        <v>115</v>
      </c>
      <c r="U39" s="4" t="s">
        <v>115</v>
      </c>
      <c r="V39" s="4" t="s">
        <v>181</v>
      </c>
      <c r="W39" s="4" t="s">
        <v>184</v>
      </c>
      <c r="X39" s="4" t="s">
        <v>214</v>
      </c>
      <c r="Y39" s="4" t="s">
        <v>201</v>
      </c>
      <c r="Z39" s="4" t="s">
        <v>216</v>
      </c>
      <c r="AA39" s="12" t="s">
        <v>120</v>
      </c>
      <c r="AB39" s="12" t="s">
        <v>217</v>
      </c>
      <c r="AC39" s="12" t="s">
        <v>143</v>
      </c>
      <c r="AD39" s="12" t="s">
        <v>218</v>
      </c>
    </row>
    <row r="40" customFormat="false" ht="46.25" hidden="false" customHeight="false" outlineLevel="0" collapsed="false">
      <c r="A40" s="4" t="s">
        <v>341</v>
      </c>
      <c r="B40" s="4" t="s">
        <v>342</v>
      </c>
      <c r="C40" s="4" t="s">
        <v>325</v>
      </c>
      <c r="D40" s="4" t="s">
        <v>98</v>
      </c>
      <c r="E40" s="4" t="s">
        <v>192</v>
      </c>
      <c r="F40" s="4" t="s">
        <v>127</v>
      </c>
      <c r="G40" s="4" t="s">
        <v>101</v>
      </c>
      <c r="H40" s="4" t="s">
        <v>128</v>
      </c>
      <c r="I40" s="4" t="s">
        <v>103</v>
      </c>
      <c r="J40" s="4" t="s">
        <v>147</v>
      </c>
      <c r="K40" s="4" t="s">
        <v>242</v>
      </c>
      <c r="L40" s="4" t="s">
        <v>132</v>
      </c>
      <c r="M40" s="4" t="s">
        <v>343</v>
      </c>
      <c r="N40" s="4" t="s">
        <v>108</v>
      </c>
      <c r="O40" s="4" t="s">
        <v>109</v>
      </c>
      <c r="P40" s="4" t="s">
        <v>133</v>
      </c>
      <c r="Q40" s="4" t="s">
        <v>111</v>
      </c>
      <c r="R40" s="4" t="s">
        <v>134</v>
      </c>
      <c r="S40" s="4" t="s">
        <v>157</v>
      </c>
      <c r="T40" s="4" t="s">
        <v>136</v>
      </c>
      <c r="U40" s="4" t="s">
        <v>136</v>
      </c>
      <c r="V40" s="4" t="s">
        <v>111</v>
      </c>
      <c r="W40" s="4" t="s">
        <v>158</v>
      </c>
      <c r="X40" s="4" t="s">
        <v>138</v>
      </c>
      <c r="Y40" s="4" t="s">
        <v>139</v>
      </c>
      <c r="Z40" s="4" t="s">
        <v>303</v>
      </c>
      <c r="AA40" s="12" t="s">
        <v>251</v>
      </c>
      <c r="AB40" s="12" t="s">
        <v>142</v>
      </c>
      <c r="AC40" s="12" t="s">
        <v>143</v>
      </c>
      <c r="AD40" s="12" t="s">
        <v>123</v>
      </c>
    </row>
    <row r="41" customFormat="false" ht="23.85" hidden="false" customHeight="false" outlineLevel="0" collapsed="false">
      <c r="A41" s="4" t="s">
        <v>344</v>
      </c>
      <c r="B41" s="4" t="s">
        <v>253</v>
      </c>
      <c r="C41" s="4" t="s">
        <v>146</v>
      </c>
      <c r="D41" s="4" t="s">
        <v>98</v>
      </c>
      <c r="E41" s="4" t="s">
        <v>99</v>
      </c>
      <c r="F41" s="4" t="s">
        <v>127</v>
      </c>
      <c r="G41" s="4" t="s">
        <v>163</v>
      </c>
      <c r="H41" s="4" t="s">
        <v>129</v>
      </c>
      <c r="I41" s="4" t="s">
        <v>103</v>
      </c>
      <c r="J41" s="4" t="s">
        <v>241</v>
      </c>
      <c r="K41" s="4" t="s">
        <v>131</v>
      </c>
      <c r="L41" s="4" t="s">
        <v>106</v>
      </c>
      <c r="M41" s="4" t="s">
        <v>108</v>
      </c>
      <c r="N41" s="4" t="s">
        <v>108</v>
      </c>
      <c r="O41" s="4" t="s">
        <v>109</v>
      </c>
      <c r="P41" s="4" t="s">
        <v>148</v>
      </c>
      <c r="Q41" s="4" t="s">
        <v>111</v>
      </c>
      <c r="R41" s="4" t="s">
        <v>302</v>
      </c>
      <c r="S41" s="4" t="s">
        <v>157</v>
      </c>
      <c r="T41" s="4" t="s">
        <v>114</v>
      </c>
      <c r="U41" s="4" t="s">
        <v>115</v>
      </c>
      <c r="V41" s="4" t="s">
        <v>111</v>
      </c>
      <c r="W41" s="4" t="s">
        <v>345</v>
      </c>
      <c r="X41" s="4" t="s">
        <v>138</v>
      </c>
      <c r="Y41" s="4" t="s">
        <v>194</v>
      </c>
      <c r="Z41" s="4" t="s">
        <v>303</v>
      </c>
      <c r="AA41" s="12" t="s">
        <v>141</v>
      </c>
      <c r="AB41" s="12" t="s">
        <v>142</v>
      </c>
      <c r="AC41" s="12" t="s">
        <v>143</v>
      </c>
      <c r="AD41" s="12" t="s">
        <v>123</v>
      </c>
    </row>
    <row r="42" customFormat="false" ht="46.25" hidden="false" customHeight="false" outlineLevel="0" collapsed="false">
      <c r="A42" s="4" t="s">
        <v>346</v>
      </c>
      <c r="B42" s="4" t="s">
        <v>347</v>
      </c>
      <c r="C42" s="4" t="s">
        <v>153</v>
      </c>
      <c r="D42" s="4" t="s">
        <v>98</v>
      </c>
      <c r="E42" s="4" t="s">
        <v>205</v>
      </c>
      <c r="F42" s="4" t="s">
        <v>256</v>
      </c>
      <c r="G42" s="4" t="s">
        <v>128</v>
      </c>
      <c r="H42" s="4" t="s">
        <v>128</v>
      </c>
      <c r="I42" s="4" t="s">
        <v>147</v>
      </c>
      <c r="J42" s="4" t="s">
        <v>103</v>
      </c>
      <c r="K42" s="4" t="s">
        <v>348</v>
      </c>
      <c r="L42" s="4" t="s">
        <v>197</v>
      </c>
      <c r="M42" s="4" t="s">
        <v>258</v>
      </c>
      <c r="N42" s="4" t="s">
        <v>258</v>
      </c>
      <c r="O42" s="4" t="s">
        <v>259</v>
      </c>
      <c r="P42" s="4" t="s">
        <v>349</v>
      </c>
      <c r="Q42" s="4" t="s">
        <v>111</v>
      </c>
      <c r="R42" s="4" t="s">
        <v>280</v>
      </c>
      <c r="S42" s="4" t="s">
        <v>350</v>
      </c>
      <c r="T42" s="4" t="s">
        <v>114</v>
      </c>
      <c r="U42" s="4" t="s">
        <v>115</v>
      </c>
      <c r="V42" s="4" t="s">
        <v>111</v>
      </c>
      <c r="W42" s="4" t="s">
        <v>351</v>
      </c>
      <c r="X42" s="4" t="s">
        <v>264</v>
      </c>
      <c r="Y42" s="4" t="s">
        <v>281</v>
      </c>
      <c r="Z42" s="4" t="s">
        <v>282</v>
      </c>
      <c r="AA42" s="12" t="s">
        <v>236</v>
      </c>
      <c r="AB42" s="12" t="s">
        <v>237</v>
      </c>
      <c r="AC42" s="12" t="s">
        <v>122</v>
      </c>
      <c r="AD42" s="12" t="s">
        <v>123</v>
      </c>
    </row>
    <row r="43" customFormat="false" ht="46.25" hidden="false" customHeight="false" outlineLevel="0" collapsed="false">
      <c r="A43" s="4" t="s">
        <v>352</v>
      </c>
      <c r="B43" s="4" t="s">
        <v>347</v>
      </c>
      <c r="C43" s="4" t="s">
        <v>97</v>
      </c>
      <c r="D43" s="4" t="s">
        <v>98</v>
      </c>
      <c r="E43" s="4" t="s">
        <v>154</v>
      </c>
      <c r="F43" s="4" t="s">
        <v>178</v>
      </c>
      <c r="G43" s="4" t="s">
        <v>102</v>
      </c>
      <c r="H43" s="4" t="s">
        <v>102</v>
      </c>
      <c r="I43" s="4" t="s">
        <v>104</v>
      </c>
      <c r="J43" s="4" t="s">
        <v>130</v>
      </c>
      <c r="K43" s="4" t="s">
        <v>307</v>
      </c>
      <c r="L43" s="4" t="s">
        <v>132</v>
      </c>
      <c r="M43" s="4" t="s">
        <v>107</v>
      </c>
      <c r="N43" s="4" t="s">
        <v>108</v>
      </c>
      <c r="O43" s="4" t="s">
        <v>208</v>
      </c>
      <c r="P43" s="4" t="s">
        <v>276</v>
      </c>
      <c r="Q43" s="4" t="s">
        <v>111</v>
      </c>
      <c r="R43" s="4" t="s">
        <v>199</v>
      </c>
      <c r="S43" s="4" t="s">
        <v>271</v>
      </c>
      <c r="T43" s="4" t="s">
        <v>115</v>
      </c>
      <c r="U43" s="4" t="s">
        <v>115</v>
      </c>
      <c r="V43" s="4" t="s">
        <v>181</v>
      </c>
      <c r="W43" s="4" t="s">
        <v>184</v>
      </c>
      <c r="X43" s="4" t="s">
        <v>185</v>
      </c>
      <c r="Y43" s="4" t="s">
        <v>215</v>
      </c>
      <c r="Z43" s="4" t="s">
        <v>216</v>
      </c>
      <c r="AA43" s="12" t="s">
        <v>236</v>
      </c>
      <c r="AB43" s="12" t="s">
        <v>237</v>
      </c>
      <c r="AC43" s="12" t="s">
        <v>122</v>
      </c>
      <c r="AD43" s="12" t="s">
        <v>218</v>
      </c>
    </row>
    <row r="44" customFormat="false" ht="23.85" hidden="false" customHeight="false" outlineLevel="0" collapsed="false">
      <c r="A44" s="4" t="s">
        <v>353</v>
      </c>
      <c r="B44" s="4" t="s">
        <v>96</v>
      </c>
      <c r="C44" s="4" t="s">
        <v>354</v>
      </c>
      <c r="D44" s="4" t="s">
        <v>98</v>
      </c>
      <c r="E44" s="4" t="s">
        <v>126</v>
      </c>
      <c r="F44" s="4" t="s">
        <v>127</v>
      </c>
      <c r="G44" s="4" t="s">
        <v>102</v>
      </c>
      <c r="H44" s="4" t="s">
        <v>128</v>
      </c>
      <c r="I44" s="4" t="s">
        <v>104</v>
      </c>
      <c r="J44" s="4" t="s">
        <v>147</v>
      </c>
      <c r="K44" s="4" t="s">
        <v>131</v>
      </c>
      <c r="L44" s="4" t="s">
        <v>197</v>
      </c>
      <c r="M44" s="4" t="s">
        <v>108</v>
      </c>
      <c r="N44" s="4" t="s">
        <v>108</v>
      </c>
      <c r="O44" s="4" t="s">
        <v>109</v>
      </c>
      <c r="P44" s="4" t="s">
        <v>133</v>
      </c>
      <c r="Q44" s="4" t="s">
        <v>111</v>
      </c>
      <c r="R44" s="4" t="s">
        <v>156</v>
      </c>
      <c r="S44" s="4" t="s">
        <v>157</v>
      </c>
      <c r="T44" s="4" t="s">
        <v>136</v>
      </c>
      <c r="U44" s="4" t="s">
        <v>115</v>
      </c>
      <c r="V44" s="4" t="s">
        <v>111</v>
      </c>
      <c r="W44" s="4" t="s">
        <v>137</v>
      </c>
      <c r="X44" s="4" t="s">
        <v>138</v>
      </c>
      <c r="Y44" s="4" t="s">
        <v>139</v>
      </c>
      <c r="Z44" s="4" t="s">
        <v>303</v>
      </c>
      <c r="AA44" s="12" t="s">
        <v>141</v>
      </c>
      <c r="AB44" s="12" t="s">
        <v>142</v>
      </c>
      <c r="AC44" s="12" t="s">
        <v>143</v>
      </c>
      <c r="AD44" s="12" t="s">
        <v>123</v>
      </c>
    </row>
    <row r="45" customFormat="false" ht="23.85" hidden="false" customHeight="false" outlineLevel="0" collapsed="false">
      <c r="A45" s="4" t="s">
        <v>355</v>
      </c>
      <c r="B45" s="4" t="s">
        <v>175</v>
      </c>
      <c r="C45" s="4" t="s">
        <v>356</v>
      </c>
      <c r="D45" s="4" t="s">
        <v>98</v>
      </c>
      <c r="E45" s="4" t="s">
        <v>231</v>
      </c>
      <c r="F45" s="4" t="s">
        <v>100</v>
      </c>
      <c r="G45" s="4" t="s">
        <v>101</v>
      </c>
      <c r="H45" s="4" t="s">
        <v>101</v>
      </c>
      <c r="I45" s="4" t="s">
        <v>104</v>
      </c>
      <c r="J45" s="4" t="s">
        <v>241</v>
      </c>
      <c r="K45" s="4" t="s">
        <v>292</v>
      </c>
      <c r="L45" s="4" t="s">
        <v>132</v>
      </c>
      <c r="M45" s="4" t="s">
        <v>108</v>
      </c>
      <c r="N45" s="4" t="s">
        <v>108</v>
      </c>
      <c r="O45" s="4" t="s">
        <v>109</v>
      </c>
      <c r="P45" s="4" t="s">
        <v>209</v>
      </c>
      <c r="Q45" s="4" t="s">
        <v>111</v>
      </c>
      <c r="R45" s="4" t="s">
        <v>357</v>
      </c>
      <c r="S45" s="4" t="s">
        <v>149</v>
      </c>
      <c r="T45" s="4" t="s">
        <v>114</v>
      </c>
      <c r="U45" s="4" t="s">
        <v>115</v>
      </c>
      <c r="V45" s="4" t="s">
        <v>111</v>
      </c>
      <c r="W45" s="4" t="s">
        <v>150</v>
      </c>
      <c r="X45" s="4" t="s">
        <v>358</v>
      </c>
      <c r="Y45" s="4" t="s">
        <v>359</v>
      </c>
      <c r="Z45" s="4" t="s">
        <v>151</v>
      </c>
      <c r="AA45" s="12" t="s">
        <v>120</v>
      </c>
      <c r="AB45" s="12" t="s">
        <v>121</v>
      </c>
      <c r="AC45" s="12" t="s">
        <v>122</v>
      </c>
      <c r="AD45" s="12" t="s">
        <v>218</v>
      </c>
    </row>
    <row r="46" customFormat="false" ht="35.05" hidden="false" customHeight="false" outlineLevel="0" collapsed="false">
      <c r="A46" s="4" t="s">
        <v>360</v>
      </c>
      <c r="B46" s="4" t="s">
        <v>96</v>
      </c>
      <c r="C46" s="4" t="s">
        <v>336</v>
      </c>
      <c r="D46" s="4" t="s">
        <v>98</v>
      </c>
      <c r="E46" s="4" t="s">
        <v>126</v>
      </c>
      <c r="F46" s="4" t="s">
        <v>178</v>
      </c>
      <c r="G46" s="4" t="s">
        <v>101</v>
      </c>
      <c r="H46" s="4" t="s">
        <v>129</v>
      </c>
      <c r="I46" s="4" t="s">
        <v>104</v>
      </c>
      <c r="J46" s="4" t="s">
        <v>241</v>
      </c>
      <c r="K46" s="4" t="s">
        <v>179</v>
      </c>
      <c r="L46" s="4" t="s">
        <v>197</v>
      </c>
      <c r="M46" s="4" t="s">
        <v>107</v>
      </c>
      <c r="N46" s="4" t="s">
        <v>108</v>
      </c>
      <c r="O46" s="4" t="s">
        <v>109</v>
      </c>
      <c r="P46" s="4" t="s">
        <v>180</v>
      </c>
      <c r="Q46" s="4" t="s">
        <v>210</v>
      </c>
      <c r="R46" s="4" t="s">
        <v>182</v>
      </c>
      <c r="S46" s="4" t="s">
        <v>183</v>
      </c>
      <c r="T46" s="4" t="s">
        <v>136</v>
      </c>
      <c r="U46" s="4" t="s">
        <v>115</v>
      </c>
      <c r="V46" s="4" t="s">
        <v>111</v>
      </c>
      <c r="W46" s="4" t="s">
        <v>213</v>
      </c>
      <c r="X46" s="4" t="s">
        <v>214</v>
      </c>
      <c r="Y46" s="4" t="s">
        <v>215</v>
      </c>
      <c r="Z46" s="4" t="s">
        <v>187</v>
      </c>
      <c r="AA46" s="12" t="s">
        <v>141</v>
      </c>
      <c r="AB46" s="12" t="s">
        <v>188</v>
      </c>
      <c r="AC46" s="12" t="s">
        <v>189</v>
      </c>
      <c r="AD46" s="12" t="s">
        <v>123</v>
      </c>
    </row>
    <row r="47" customFormat="false" ht="35.05" hidden="false" customHeight="false" outlineLevel="0" collapsed="false">
      <c r="A47" s="4" t="s">
        <v>361</v>
      </c>
      <c r="B47" s="4" t="s">
        <v>160</v>
      </c>
      <c r="C47" s="4" t="s">
        <v>220</v>
      </c>
      <c r="D47" s="4" t="s">
        <v>98</v>
      </c>
      <c r="E47" s="4" t="s">
        <v>170</v>
      </c>
      <c r="F47" s="4" t="s">
        <v>178</v>
      </c>
      <c r="G47" s="4" t="s">
        <v>163</v>
      </c>
      <c r="H47" s="4" t="s">
        <v>129</v>
      </c>
      <c r="I47" s="4" t="s">
        <v>104</v>
      </c>
      <c r="J47" s="4" t="s">
        <v>103</v>
      </c>
      <c r="K47" s="4" t="s">
        <v>179</v>
      </c>
      <c r="L47" s="4" t="s">
        <v>197</v>
      </c>
      <c r="M47" s="4" t="s">
        <v>107</v>
      </c>
      <c r="N47" s="4" t="s">
        <v>108</v>
      </c>
      <c r="O47" s="4" t="s">
        <v>208</v>
      </c>
      <c r="P47" s="4" t="s">
        <v>209</v>
      </c>
      <c r="Q47" s="4" t="s">
        <v>181</v>
      </c>
      <c r="R47" s="4" t="s">
        <v>182</v>
      </c>
      <c r="S47" s="4" t="s">
        <v>271</v>
      </c>
      <c r="T47" s="4" t="s">
        <v>115</v>
      </c>
      <c r="U47" s="4" t="s">
        <v>115</v>
      </c>
      <c r="V47" s="4" t="s">
        <v>111</v>
      </c>
      <c r="W47" s="4" t="s">
        <v>184</v>
      </c>
      <c r="X47" s="4" t="s">
        <v>185</v>
      </c>
      <c r="Y47" s="4" t="s">
        <v>215</v>
      </c>
      <c r="Z47" s="4" t="s">
        <v>187</v>
      </c>
      <c r="AA47" s="12" t="s">
        <v>141</v>
      </c>
      <c r="AB47" s="12" t="s">
        <v>188</v>
      </c>
      <c r="AC47" s="12" t="s">
        <v>189</v>
      </c>
      <c r="AD47" s="12" t="s">
        <v>123</v>
      </c>
    </row>
    <row r="48" customFormat="false" ht="35.05" hidden="false" customHeight="false" outlineLevel="0" collapsed="false">
      <c r="A48" s="4" t="s">
        <v>362</v>
      </c>
      <c r="B48" s="4" t="s">
        <v>363</v>
      </c>
      <c r="C48" s="4" t="s">
        <v>204</v>
      </c>
      <c r="D48" s="4" t="s">
        <v>98</v>
      </c>
      <c r="E48" s="4" t="s">
        <v>126</v>
      </c>
      <c r="F48" s="4" t="s">
        <v>240</v>
      </c>
      <c r="G48" s="4" t="s">
        <v>163</v>
      </c>
      <c r="H48" s="4" t="s">
        <v>101</v>
      </c>
      <c r="I48" s="4" t="s">
        <v>104</v>
      </c>
      <c r="J48" s="4" t="s">
        <v>241</v>
      </c>
      <c r="K48" s="4" t="s">
        <v>179</v>
      </c>
      <c r="L48" s="4" t="s">
        <v>197</v>
      </c>
      <c r="M48" s="4" t="s">
        <v>243</v>
      </c>
      <c r="N48" s="4" t="s">
        <v>108</v>
      </c>
      <c r="O48" s="4" t="s">
        <v>109</v>
      </c>
      <c r="P48" s="4" t="s">
        <v>364</v>
      </c>
      <c r="Q48" s="4" t="s">
        <v>181</v>
      </c>
      <c r="R48" s="4" t="s">
        <v>320</v>
      </c>
      <c r="S48" s="4" t="s">
        <v>321</v>
      </c>
      <c r="T48" s="4" t="s">
        <v>136</v>
      </c>
      <c r="U48" s="4" t="s">
        <v>136</v>
      </c>
      <c r="V48" s="4" t="s">
        <v>111</v>
      </c>
      <c r="W48" s="4" t="s">
        <v>313</v>
      </c>
      <c r="X48" s="4" t="s">
        <v>248</v>
      </c>
      <c r="Y48" s="4" t="s">
        <v>249</v>
      </c>
      <c r="Z48" s="4" t="s">
        <v>250</v>
      </c>
      <c r="AA48" s="12" t="s">
        <v>141</v>
      </c>
      <c r="AB48" s="12" t="s">
        <v>188</v>
      </c>
      <c r="AC48" s="12" t="s">
        <v>189</v>
      </c>
      <c r="AD48" s="12" t="s">
        <v>123</v>
      </c>
    </row>
    <row r="49" customFormat="false" ht="23.85" hidden="false" customHeight="false" outlineLevel="0" collapsed="false">
      <c r="A49" s="4" t="s">
        <v>365</v>
      </c>
      <c r="B49" s="4" t="s">
        <v>96</v>
      </c>
      <c r="C49" s="4" t="s">
        <v>146</v>
      </c>
      <c r="D49" s="4" t="s">
        <v>98</v>
      </c>
      <c r="E49" s="4" t="s">
        <v>306</v>
      </c>
      <c r="F49" s="4" t="s">
        <v>127</v>
      </c>
      <c r="G49" s="4" t="s">
        <v>128</v>
      </c>
      <c r="H49" s="4" t="s">
        <v>128</v>
      </c>
      <c r="I49" s="4" t="s">
        <v>103</v>
      </c>
      <c r="J49" s="4" t="s">
        <v>147</v>
      </c>
      <c r="K49" s="4" t="s">
        <v>131</v>
      </c>
      <c r="L49" s="4" t="s">
        <v>106</v>
      </c>
      <c r="M49" s="4" t="s">
        <v>108</v>
      </c>
      <c r="N49" s="4" t="s">
        <v>108</v>
      </c>
      <c r="O49" s="4" t="s">
        <v>109</v>
      </c>
      <c r="P49" s="4" t="s">
        <v>133</v>
      </c>
      <c r="Q49" s="4" t="s">
        <v>111</v>
      </c>
      <c r="R49" s="4" t="s">
        <v>366</v>
      </c>
      <c r="S49" s="4" t="s">
        <v>157</v>
      </c>
      <c r="T49" s="4" t="s">
        <v>114</v>
      </c>
      <c r="U49" s="4" t="s">
        <v>115</v>
      </c>
      <c r="V49" s="4" t="s">
        <v>111</v>
      </c>
      <c r="W49" s="4" t="s">
        <v>345</v>
      </c>
      <c r="X49" s="4" t="s">
        <v>193</v>
      </c>
      <c r="Y49" s="4" t="s">
        <v>139</v>
      </c>
      <c r="Z49" s="4" t="s">
        <v>140</v>
      </c>
      <c r="AA49" s="12" t="s">
        <v>141</v>
      </c>
      <c r="AB49" s="12" t="s">
        <v>142</v>
      </c>
      <c r="AC49" s="12" t="s">
        <v>143</v>
      </c>
      <c r="AD49" s="12" t="s">
        <v>123</v>
      </c>
    </row>
    <row r="50" customFormat="false" ht="35.05" hidden="false" customHeight="false" outlineLevel="0" collapsed="false">
      <c r="A50" s="4" t="s">
        <v>367</v>
      </c>
      <c r="B50" s="4" t="s">
        <v>203</v>
      </c>
      <c r="C50" s="4" t="s">
        <v>125</v>
      </c>
      <c r="D50" s="4" t="s">
        <v>98</v>
      </c>
      <c r="E50" s="4" t="s">
        <v>255</v>
      </c>
      <c r="F50" s="4" t="s">
        <v>240</v>
      </c>
      <c r="G50" s="4" t="s">
        <v>128</v>
      </c>
      <c r="H50" s="4" t="s">
        <v>101</v>
      </c>
      <c r="I50" s="4" t="s">
        <v>104</v>
      </c>
      <c r="J50" s="4" t="s">
        <v>241</v>
      </c>
      <c r="K50" s="4" t="s">
        <v>179</v>
      </c>
      <c r="L50" s="4" t="s">
        <v>197</v>
      </c>
      <c r="M50" s="4" t="s">
        <v>293</v>
      </c>
      <c r="N50" s="4" t="s">
        <v>108</v>
      </c>
      <c r="O50" s="4" t="s">
        <v>171</v>
      </c>
      <c r="P50" s="4" t="s">
        <v>244</v>
      </c>
      <c r="Q50" s="4" t="s">
        <v>111</v>
      </c>
      <c r="R50" s="4" t="s">
        <v>368</v>
      </c>
      <c r="S50" s="4" t="s">
        <v>321</v>
      </c>
      <c r="T50" s="4" t="s">
        <v>136</v>
      </c>
      <c r="U50" s="4" t="s">
        <v>115</v>
      </c>
      <c r="V50" s="4" t="s">
        <v>111</v>
      </c>
      <c r="W50" s="4" t="s">
        <v>313</v>
      </c>
      <c r="X50" s="4" t="s">
        <v>248</v>
      </c>
      <c r="Y50" s="4" t="s">
        <v>369</v>
      </c>
      <c r="Z50" s="4" t="s">
        <v>299</v>
      </c>
      <c r="AA50" s="12" t="s">
        <v>141</v>
      </c>
      <c r="AB50" s="12" t="s">
        <v>188</v>
      </c>
      <c r="AC50" s="12" t="s">
        <v>189</v>
      </c>
      <c r="AD50" s="12" t="s">
        <v>123</v>
      </c>
    </row>
    <row r="51" customFormat="false" ht="46.25" hidden="false" customHeight="false" outlineLevel="0" collapsed="false">
      <c r="A51" s="4" t="s">
        <v>370</v>
      </c>
      <c r="B51" s="4" t="s">
        <v>285</v>
      </c>
      <c r="C51" s="4" t="s">
        <v>230</v>
      </c>
      <c r="D51" s="4" t="s">
        <v>98</v>
      </c>
      <c r="E51" s="4" t="s">
        <v>177</v>
      </c>
      <c r="F51" s="4" t="s">
        <v>256</v>
      </c>
      <c r="G51" s="4" t="s">
        <v>128</v>
      </c>
      <c r="H51" s="4" t="s">
        <v>128</v>
      </c>
      <c r="I51" s="4" t="s">
        <v>147</v>
      </c>
      <c r="J51" s="4" t="s">
        <v>241</v>
      </c>
      <c r="K51" s="4" t="s">
        <v>307</v>
      </c>
      <c r="L51" s="4" t="s">
        <v>132</v>
      </c>
      <c r="M51" s="4" t="s">
        <v>258</v>
      </c>
      <c r="N51" s="4" t="s">
        <v>258</v>
      </c>
      <c r="O51" s="4" t="s">
        <v>259</v>
      </c>
      <c r="P51" s="4" t="s">
        <v>371</v>
      </c>
      <c r="Q51" s="4" t="s">
        <v>111</v>
      </c>
      <c r="R51" s="4" t="s">
        <v>372</v>
      </c>
      <c r="S51" s="4" t="s">
        <v>373</v>
      </c>
      <c r="T51" s="4" t="s">
        <v>114</v>
      </c>
      <c r="U51" s="4" t="s">
        <v>136</v>
      </c>
      <c r="V51" s="4" t="s">
        <v>111</v>
      </c>
      <c r="W51" s="4" t="s">
        <v>374</v>
      </c>
      <c r="X51" s="4" t="s">
        <v>264</v>
      </c>
      <c r="Y51" s="4" t="s">
        <v>375</v>
      </c>
      <c r="Z51" s="4" t="s">
        <v>266</v>
      </c>
      <c r="AA51" s="12" t="s">
        <v>236</v>
      </c>
      <c r="AB51" s="12" t="s">
        <v>237</v>
      </c>
      <c r="AC51" s="12" t="s">
        <v>122</v>
      </c>
      <c r="AD51" s="12" t="s">
        <v>123</v>
      </c>
    </row>
    <row r="52" customFormat="false" ht="46.25" hidden="false" customHeight="false" outlineLevel="0" collapsed="false">
      <c r="A52" s="4" t="s">
        <v>376</v>
      </c>
      <c r="B52" s="4" t="s">
        <v>253</v>
      </c>
      <c r="C52" s="4" t="s">
        <v>274</v>
      </c>
      <c r="D52" s="4" t="s">
        <v>181</v>
      </c>
      <c r="E52" s="4" t="s">
        <v>154</v>
      </c>
      <c r="F52" s="4" t="s">
        <v>240</v>
      </c>
      <c r="G52" s="4" t="s">
        <v>102</v>
      </c>
      <c r="H52" s="4" t="s">
        <v>101</v>
      </c>
      <c r="I52" s="4" t="s">
        <v>104</v>
      </c>
      <c r="J52" s="4" t="s">
        <v>130</v>
      </c>
      <c r="K52" s="4" t="s">
        <v>377</v>
      </c>
      <c r="L52" s="4" t="s">
        <v>197</v>
      </c>
      <c r="M52" s="4" t="s">
        <v>107</v>
      </c>
      <c r="N52" s="4" t="s">
        <v>108</v>
      </c>
      <c r="O52" s="4" t="s">
        <v>171</v>
      </c>
      <c r="P52" s="4" t="s">
        <v>148</v>
      </c>
      <c r="Q52" s="4" t="s">
        <v>210</v>
      </c>
      <c r="R52" s="4" t="s">
        <v>378</v>
      </c>
      <c r="S52" s="4" t="s">
        <v>312</v>
      </c>
      <c r="T52" s="4" t="s">
        <v>115</v>
      </c>
      <c r="U52" s="4" t="s">
        <v>115</v>
      </c>
      <c r="V52" s="4" t="s">
        <v>111</v>
      </c>
      <c r="W52" s="4" t="s">
        <v>247</v>
      </c>
      <c r="X52" s="4" t="s">
        <v>379</v>
      </c>
      <c r="Y52" s="4" t="s">
        <v>249</v>
      </c>
      <c r="Z52" s="4" t="s">
        <v>299</v>
      </c>
      <c r="AA52" s="12" t="s">
        <v>251</v>
      </c>
      <c r="AB52" s="12" t="s">
        <v>188</v>
      </c>
      <c r="AC52" s="12" t="s">
        <v>189</v>
      </c>
      <c r="AD52" s="12" t="s">
        <v>123</v>
      </c>
    </row>
    <row r="53" customFormat="false" ht="35.05" hidden="false" customHeight="false" outlineLevel="0" collapsed="false">
      <c r="A53" s="4" t="s">
        <v>380</v>
      </c>
      <c r="B53" s="4" t="s">
        <v>226</v>
      </c>
      <c r="C53" s="4" t="s">
        <v>274</v>
      </c>
      <c r="D53" s="4" t="s">
        <v>98</v>
      </c>
      <c r="E53" s="4" t="s">
        <v>177</v>
      </c>
      <c r="F53" s="4" t="s">
        <v>178</v>
      </c>
      <c r="G53" s="4" t="s">
        <v>163</v>
      </c>
      <c r="H53" s="4" t="s">
        <v>129</v>
      </c>
      <c r="I53" s="4" t="s">
        <v>104</v>
      </c>
      <c r="J53" s="4" t="s">
        <v>103</v>
      </c>
      <c r="K53" s="4" t="s">
        <v>179</v>
      </c>
      <c r="L53" s="4" t="s">
        <v>197</v>
      </c>
      <c r="M53" s="4" t="s">
        <v>108</v>
      </c>
      <c r="N53" s="4" t="s">
        <v>108</v>
      </c>
      <c r="O53" s="4" t="s">
        <v>171</v>
      </c>
      <c r="P53" s="4" t="s">
        <v>276</v>
      </c>
      <c r="Q53" s="4" t="s">
        <v>210</v>
      </c>
      <c r="R53" s="4" t="s">
        <v>211</v>
      </c>
      <c r="S53" s="4" t="s">
        <v>271</v>
      </c>
      <c r="T53" s="4" t="s">
        <v>115</v>
      </c>
      <c r="U53" s="4" t="s">
        <v>136</v>
      </c>
      <c r="V53" s="4" t="s">
        <v>111</v>
      </c>
      <c r="W53" s="4" t="s">
        <v>213</v>
      </c>
      <c r="X53" s="4" t="s">
        <v>185</v>
      </c>
      <c r="Y53" s="4" t="s">
        <v>201</v>
      </c>
      <c r="Z53" s="4" t="s">
        <v>308</v>
      </c>
      <c r="AA53" s="12" t="s">
        <v>141</v>
      </c>
      <c r="AB53" s="12" t="s">
        <v>188</v>
      </c>
      <c r="AC53" s="12" t="s">
        <v>189</v>
      </c>
      <c r="AD53" s="12" t="s">
        <v>123</v>
      </c>
    </row>
  </sheetData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381</v>
      </c>
    </row>
    <row r="2" customFormat="false" ht="15" hidden="false" customHeight="false" outlineLevel="0" collapsed="false">
      <c r="A2" s="2" t="s">
        <v>382</v>
      </c>
    </row>
    <row r="4" customFormat="false" ht="15" hidden="false" customHeight="false" outlineLevel="0" collapsed="false">
      <c r="A4" s="11" t="s">
        <v>383</v>
      </c>
      <c r="B4" s="11" t="s">
        <v>384</v>
      </c>
      <c r="C4" s="11" t="s">
        <v>385</v>
      </c>
      <c r="D4" s="11" t="s">
        <v>66</v>
      </c>
      <c r="E4" s="11" t="s">
        <v>386</v>
      </c>
      <c r="F4" s="11" t="s">
        <v>387</v>
      </c>
      <c r="G4" s="11" t="s">
        <v>388</v>
      </c>
    </row>
    <row r="5" customFormat="false" ht="15" hidden="false" customHeight="false" outlineLevel="0" collapsed="false">
      <c r="A5" s="4" t="n">
        <v>1</v>
      </c>
      <c r="B5" s="9"/>
      <c r="C5" s="4" t="s">
        <v>274</v>
      </c>
      <c r="D5" s="9"/>
      <c r="E5" s="9" t="s">
        <v>389</v>
      </c>
      <c r="F5" s="9" t="s">
        <v>390</v>
      </c>
      <c r="G5" s="4" t="s">
        <v>391</v>
      </c>
    </row>
    <row r="6" customFormat="false" ht="15" hidden="false" customHeight="false" outlineLevel="0" collapsed="false">
      <c r="A6" s="4" t="n">
        <v>2</v>
      </c>
      <c r="B6" s="9"/>
      <c r="C6" s="4" t="s">
        <v>336</v>
      </c>
      <c r="D6" s="9"/>
      <c r="E6" s="9" t="s">
        <v>389</v>
      </c>
      <c r="F6" s="9" t="s">
        <v>390</v>
      </c>
      <c r="G6" s="4" t="s">
        <v>391</v>
      </c>
    </row>
    <row r="7" customFormat="false" ht="15" hidden="false" customHeight="false" outlineLevel="0" collapsed="false">
      <c r="A7" s="4" t="n">
        <v>3</v>
      </c>
      <c r="B7" s="9"/>
      <c r="C7" s="4" t="s">
        <v>392</v>
      </c>
      <c r="D7" s="9"/>
      <c r="E7" s="9" t="s">
        <v>389</v>
      </c>
      <c r="F7" s="9" t="s">
        <v>390</v>
      </c>
      <c r="G7" s="4" t="s">
        <v>391</v>
      </c>
    </row>
    <row r="8" customFormat="false" ht="15" hidden="false" customHeight="false" outlineLevel="0" collapsed="false">
      <c r="A8" s="4" t="n">
        <v>4</v>
      </c>
      <c r="B8" s="9"/>
      <c r="C8" s="4" t="s">
        <v>393</v>
      </c>
      <c r="D8" s="9"/>
      <c r="E8" s="9" t="s">
        <v>389</v>
      </c>
      <c r="F8" s="9" t="s">
        <v>390</v>
      </c>
      <c r="G8" s="4" t="s">
        <v>391</v>
      </c>
    </row>
    <row r="9" customFormat="false" ht="23.85" hidden="false" customHeight="false" outlineLevel="0" collapsed="false">
      <c r="A9" s="4" t="n">
        <v>5</v>
      </c>
      <c r="B9" s="9"/>
      <c r="C9" s="4" t="s">
        <v>394</v>
      </c>
      <c r="D9" s="9"/>
      <c r="E9" s="9" t="s">
        <v>389</v>
      </c>
      <c r="F9" s="9" t="s">
        <v>390</v>
      </c>
      <c r="G9" s="4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300"/>
    <pageSetUpPr fitToPage="false"/>
  </sheetPr>
  <dimension ref="A1:S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8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5" min="12" style="0" width="10"/>
    <col collapsed="false" customWidth="true" hidden="false" outlineLevel="0" max="16" min="16" style="0" width="18"/>
    <col collapsed="false" customWidth="true" hidden="false" outlineLevel="0" max="17" min="17" style="0" width="40"/>
    <col collapsed="false" customWidth="true" hidden="false" outlineLevel="0" max="18" min="18" style="0" width="12"/>
    <col collapsed="false" customWidth="true" hidden="false" outlineLevel="0" max="19" min="19" style="0" width="10"/>
  </cols>
  <sheetData>
    <row r="1" customFormat="false" ht="17.35" hidden="false" customHeight="false" outlineLevel="0" collapsed="false">
      <c r="A1" s="1" t="s">
        <v>395</v>
      </c>
    </row>
    <row r="2" customFormat="false" ht="15" hidden="false" customHeight="false" outlineLevel="0" collapsed="false">
      <c r="A2" s="2" t="s">
        <v>396</v>
      </c>
    </row>
    <row r="4" customFormat="false" ht="15" hidden="false" customHeight="true" outlineLevel="0" collapsed="false">
      <c r="A4" s="3" t="s">
        <v>397</v>
      </c>
      <c r="B4" s="3"/>
      <c r="C4" s="3"/>
      <c r="D4" s="3"/>
      <c r="E4" s="13" t="n">
        <f aca="false">COUNTA($A$19:$A$78)</f>
        <v>0</v>
      </c>
      <c r="F4" s="13"/>
      <c r="G4" s="13"/>
    </row>
    <row r="5" customFormat="false" ht="15" hidden="false" customHeight="true" outlineLevel="0" collapsed="false">
      <c r="A5" s="3" t="s">
        <v>398</v>
      </c>
      <c r="B5" s="3"/>
      <c r="C5" s="3"/>
      <c r="D5" s="3"/>
      <c r="E5" s="4" t="str">
        <f aca="false">IF($E$4&gt;=20,"Yes","No: "&amp;(20-$E$4)&amp;" more needed")</f>
        <v>No: 20 more needed</v>
      </c>
      <c r="F5" s="4"/>
      <c r="G5" s="4"/>
    </row>
    <row r="6" customFormat="false" ht="15" hidden="false" customHeight="true" outlineLevel="0" collapsed="false">
      <c r="A6" s="3" t="s">
        <v>399</v>
      </c>
      <c r="B6" s="3"/>
      <c r="C6" s="3"/>
      <c r="D6" s="3"/>
      <c r="E6" s="14" t="str">
        <f aca="false">IFERROR(COUNTIF($J$19:$J$78,"Y")/$E$4,"—")</f>
        <v>—</v>
      </c>
      <c r="F6" s="14"/>
      <c r="G6" s="14"/>
    </row>
    <row r="7" customFormat="false" ht="15" hidden="false" customHeight="true" outlineLevel="0" collapsed="false">
      <c r="A7" s="3" t="s">
        <v>400</v>
      </c>
      <c r="B7" s="3"/>
      <c r="C7" s="3"/>
      <c r="D7" s="3"/>
      <c r="E7" s="14" t="str">
        <f aca="false">IFERROR(COUNTIF($L$19:$L$78,"Y")/$E$4,"—")</f>
        <v>—</v>
      </c>
      <c r="F7" s="14"/>
      <c r="G7" s="14"/>
    </row>
    <row r="8" customFormat="false" ht="15" hidden="false" customHeight="true" outlineLevel="0" collapsed="false">
      <c r="A8" s="3" t="s">
        <v>401</v>
      </c>
      <c r="B8" s="3"/>
      <c r="C8" s="3"/>
      <c r="D8" s="3"/>
      <c r="E8" s="14" t="str">
        <f aca="false">IFERROR(COUNTIF($M$19:$M$78,"Y")/$E$4,"—")</f>
        <v>—</v>
      </c>
      <c r="F8" s="14"/>
      <c r="G8" s="14"/>
    </row>
    <row r="9" customFormat="false" ht="15" hidden="false" customHeight="true" outlineLevel="0" collapsed="false">
      <c r="A9" s="3" t="s">
        <v>402</v>
      </c>
      <c r="B9" s="3"/>
      <c r="C9" s="3"/>
      <c r="D9" s="3"/>
      <c r="E9" s="14" t="str">
        <f aca="false">IFERROR(COUNTIF($N$19:$N$78,"Y")/$E$4,"—")</f>
        <v>—</v>
      </c>
      <c r="F9" s="14"/>
      <c r="G9" s="14"/>
    </row>
    <row r="10" customFormat="false" ht="15" hidden="false" customHeight="true" outlineLevel="0" collapsed="false">
      <c r="A10" s="3" t="s">
        <v>403</v>
      </c>
      <c r="B10" s="3"/>
      <c r="C10" s="3"/>
      <c r="D10" s="3"/>
      <c r="E10" s="14" t="str">
        <f aca="false">IFERROR(SUMPRODUCT(--((($L$19:$L$78="Y")+($M$19:$M$78="Y")+($N$19:$N$78="Y"))&gt;0))/$E$4,"—")</f>
        <v>—</v>
      </c>
      <c r="F10" s="14"/>
      <c r="G10" s="14"/>
    </row>
    <row r="11" customFormat="false" ht="15" hidden="false" customHeight="true" outlineLevel="0" collapsed="false">
      <c r="A11" s="3" t="s">
        <v>404</v>
      </c>
      <c r="B11" s="3"/>
      <c r="C11" s="3"/>
      <c r="D11" s="3"/>
      <c r="E11" s="14" t="str">
        <f aca="false">IFERROR(COUNTIF($O$19:$O$78,"Y")/$E$4,"—")</f>
        <v>—</v>
      </c>
      <c r="F11" s="14"/>
      <c r="G11" s="14"/>
    </row>
    <row r="12" customFormat="false" ht="15" hidden="false" customHeight="true" outlineLevel="0" collapsed="false">
      <c r="A12" s="3" t="s">
        <v>405</v>
      </c>
      <c r="B12" s="3"/>
      <c r="C12" s="3"/>
      <c r="D12" s="3"/>
      <c r="E12" s="4" t="str">
        <f aca="false">COUNTIF($F$19:$F$78,"Same day")&amp;" / "&amp;COUNTIF($F$19:$F$78,"Next day")&amp;" / "&amp;COUNTIF($F$19:$F$78,"Separate account")</f>
        <v>0 / 0 / 0</v>
      </c>
      <c r="F12" s="4"/>
      <c r="G12" s="4"/>
    </row>
    <row r="13" customFormat="false" ht="15" hidden="false" customHeight="true" outlineLevel="0" collapsed="false">
      <c r="A13" s="3" t="s">
        <v>406</v>
      </c>
      <c r="B13" s="3"/>
      <c r="C13" s="3"/>
      <c r="D13" s="3"/>
      <c r="E13" s="15" t="str">
        <f aca="false">IFERROR(AVERAGE($S$19:$S$78),"—")</f>
        <v>—</v>
      </c>
      <c r="F13" s="15"/>
      <c r="G13" s="15"/>
    </row>
    <row r="14" customFormat="false" ht="15" hidden="false" customHeight="true" outlineLevel="0" collapsed="false">
      <c r="A14" s="3" t="s">
        <v>407</v>
      </c>
      <c r="B14" s="3"/>
      <c r="C14" s="3"/>
      <c r="D14" s="3"/>
      <c r="E14" s="14" t="str">
        <f aca="false">IFERROR(COUNTIF($R$19:$R$78,"Observed")/COUNTA($R$19:$R$78),"—")</f>
        <v>—</v>
      </c>
      <c r="F14" s="14"/>
      <c r="G14" s="14"/>
    </row>
    <row r="15" customFormat="false" ht="23.85" hidden="false" customHeight="true" outlineLevel="0" collapsed="false">
      <c r="A15" s="3" t="s">
        <v>408</v>
      </c>
      <c r="B15" s="3"/>
      <c r="C15" s="3"/>
      <c r="D15" s="3"/>
      <c r="E15" s="4" t="str">
        <f aca="false">COUNTIF($P$19:$P$78,"Trust")&amp;" / "&amp;COUNTIF($P$19:$P$78,"Habit")&amp;" / "&amp;COUNTIF($P$19:$P$78,"Supplier")&amp;" / "&amp;COUNTIF($P$19:$P$78,"Staff")&amp;" / "&amp;COUNTIF($P$19:$P$78,"Account set-up")&amp;" / "&amp;COUNTIF($P$19:$P$78,"Other")</f>
        <v>0 / 0 / 0 / 0 / 0 / 0</v>
      </c>
      <c r="F15" s="4"/>
      <c r="G15" s="4"/>
    </row>
    <row r="17" customFormat="false" ht="22.35" hidden="false" customHeight="false" outlineLevel="0" collapsed="false">
      <c r="A17" s="16" t="s">
        <v>409</v>
      </c>
      <c r="B17" s="16" t="s">
        <v>410</v>
      </c>
      <c r="C17" s="16" t="s">
        <v>335</v>
      </c>
      <c r="D17" s="16" t="s">
        <v>97</v>
      </c>
      <c r="E17" s="16" t="s">
        <v>218</v>
      </c>
      <c r="F17" s="16" t="s">
        <v>141</v>
      </c>
      <c r="G17" s="16" t="n">
        <v>5</v>
      </c>
      <c r="H17" s="16" t="s">
        <v>104</v>
      </c>
      <c r="I17" s="16" t="s">
        <v>411</v>
      </c>
      <c r="J17" s="16" t="s">
        <v>218</v>
      </c>
      <c r="K17" s="16" t="s">
        <v>412</v>
      </c>
      <c r="L17" s="16" t="s">
        <v>218</v>
      </c>
      <c r="M17" s="16" t="s">
        <v>218</v>
      </c>
      <c r="N17" s="16" t="s">
        <v>123</v>
      </c>
      <c r="O17" s="16" t="s">
        <v>123</v>
      </c>
      <c r="P17" s="16" t="s">
        <v>137</v>
      </c>
      <c r="Q17" s="16" t="s">
        <v>413</v>
      </c>
      <c r="R17" s="16" t="s">
        <v>414</v>
      </c>
      <c r="S17" s="16" t="n">
        <v>2</v>
      </c>
    </row>
    <row r="18" customFormat="false" ht="63.75" hidden="false" customHeight="true" outlineLevel="0" collapsed="false">
      <c r="A18" s="11" t="s">
        <v>415</v>
      </c>
      <c r="B18" s="11" t="s">
        <v>384</v>
      </c>
      <c r="C18" s="11" t="s">
        <v>66</v>
      </c>
      <c r="D18" s="11" t="s">
        <v>385</v>
      </c>
      <c r="E18" s="11" t="s">
        <v>416</v>
      </c>
      <c r="F18" s="11" t="s">
        <v>417</v>
      </c>
      <c r="G18" s="11" t="s">
        <v>418</v>
      </c>
      <c r="H18" s="11" t="s">
        <v>419</v>
      </c>
      <c r="I18" s="11" t="s">
        <v>420</v>
      </c>
      <c r="J18" s="11" t="s">
        <v>421</v>
      </c>
      <c r="K18" s="11" t="s">
        <v>422</v>
      </c>
      <c r="L18" s="11" t="s">
        <v>423</v>
      </c>
      <c r="M18" s="11" t="s">
        <v>424</v>
      </c>
      <c r="N18" s="11" t="s">
        <v>425</v>
      </c>
      <c r="O18" s="11" t="s">
        <v>426</v>
      </c>
      <c r="P18" s="11" t="s">
        <v>427</v>
      </c>
      <c r="Q18" s="11" t="s">
        <v>428</v>
      </c>
      <c r="R18" s="11" t="s">
        <v>429</v>
      </c>
      <c r="S18" s="11" t="s">
        <v>430</v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</sheetData>
  <mergeCells count="24">
    <mergeCell ref="A4:D4"/>
    <mergeCell ref="E4:G4"/>
    <mergeCell ref="A5:D5"/>
    <mergeCell ref="E5:G5"/>
    <mergeCell ref="A6:D6"/>
    <mergeCell ref="E6:G6"/>
    <mergeCell ref="A7:D7"/>
    <mergeCell ref="E7:G7"/>
    <mergeCell ref="A8:D8"/>
    <mergeCell ref="E8:G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A14:D14"/>
    <mergeCell ref="E14:G14"/>
    <mergeCell ref="A15:D15"/>
    <mergeCell ref="E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431</v>
      </c>
    </row>
    <row r="2" customFormat="false" ht="15" hidden="false" customHeight="false" outlineLevel="0" collapsed="false">
      <c r="A2" s="2" t="s">
        <v>432</v>
      </c>
    </row>
    <row r="4" customFormat="false" ht="15" hidden="false" customHeight="false" outlineLevel="0" collapsed="false">
      <c r="A4" s="3" t="s">
        <v>433</v>
      </c>
    </row>
    <row r="5" customFormat="false" ht="15" hidden="false" customHeight="true" outlineLevel="0" collapsed="false">
      <c r="A5" s="4" t="s">
        <v>434</v>
      </c>
      <c r="B5" s="4"/>
    </row>
    <row r="6" customFormat="false" ht="15" hidden="false" customHeight="true" outlineLevel="0" collapsed="false">
      <c r="A6" s="4" t="s">
        <v>435</v>
      </c>
      <c r="B6" s="4"/>
    </row>
    <row r="7" customFormat="false" ht="15" hidden="false" customHeight="true" outlineLevel="0" collapsed="false">
      <c r="A7" s="4" t="s">
        <v>436</v>
      </c>
      <c r="B7" s="4"/>
    </row>
    <row r="8" customFormat="false" ht="15" hidden="false" customHeight="true" outlineLevel="0" collapsed="false">
      <c r="A8" s="4" t="s">
        <v>437</v>
      </c>
      <c r="B8" s="4"/>
    </row>
    <row r="9" customFormat="false" ht="15" hidden="false" customHeight="true" outlineLevel="0" collapsed="false">
      <c r="A9" s="4" t="s">
        <v>438</v>
      </c>
      <c r="B9" s="4"/>
    </row>
    <row r="11" customFormat="false" ht="15" hidden="false" customHeight="false" outlineLevel="0" collapsed="false">
      <c r="A11" s="11" t="s">
        <v>439</v>
      </c>
      <c r="B11" s="11" t="s">
        <v>440</v>
      </c>
      <c r="C11" s="11" t="s">
        <v>441</v>
      </c>
      <c r="D11" s="11" t="s">
        <v>115</v>
      </c>
      <c r="E11" s="11" t="s">
        <v>136</v>
      </c>
      <c r="F11" s="11" t="s">
        <v>114</v>
      </c>
      <c r="G11" s="11" t="s">
        <v>442</v>
      </c>
    </row>
    <row r="12" customFormat="false" ht="15" hidden="false" customHeight="false" outlineLevel="0" collapsed="false">
      <c r="A12" s="3" t="s">
        <v>189</v>
      </c>
      <c r="B12" s="4" t="s">
        <v>443</v>
      </c>
      <c r="C12" s="4" t="n">
        <f aca="false">COUNTIF(VOC_Synthetic!$AC$4:$AC$53,A12)</f>
        <v>16</v>
      </c>
      <c r="D12" s="4" t="n">
        <f aca="false">COUNTIFS(VOC_Synthetic!$AC$4:$AC$53,$A12,VOC_Synthetic!$T$4:$T$53,"Yes")</f>
        <v>7</v>
      </c>
      <c r="E12" s="4" t="n">
        <f aca="false">COUNTIFS(VOC_Synthetic!$AC$4:$AC$53,$A12,VOC_Synthetic!$T$4:$T$53,"Maybe")</f>
        <v>9</v>
      </c>
      <c r="F12" s="4" t="n">
        <f aca="false">COUNTIFS(VOC_Synthetic!$AC$4:$AC$53,$A12,VOC_Synthetic!$T$4:$T$53,"No")</f>
        <v>0</v>
      </c>
      <c r="G12" s="4" t="s">
        <v>444</v>
      </c>
    </row>
    <row r="13" customFormat="false" ht="35.05" hidden="false" customHeight="false" outlineLevel="0" collapsed="false">
      <c r="A13" s="3" t="s">
        <v>143</v>
      </c>
      <c r="B13" s="4" t="s">
        <v>445</v>
      </c>
      <c r="C13" s="4" t="n">
        <f aca="false">COUNTIF(VOC_Synthetic!$AC$4:$AC$53,A13)</f>
        <v>16</v>
      </c>
      <c r="D13" s="4" t="n">
        <f aca="false">COUNTIFS(VOC_Synthetic!$AC$4:$AC$53,$A13,VOC_Synthetic!$T$4:$T$53,"Yes")</f>
        <v>4</v>
      </c>
      <c r="E13" s="4" t="n">
        <f aca="false">COUNTIFS(VOC_Synthetic!$AC$4:$AC$53,$A13,VOC_Synthetic!$T$4:$T$53,"Maybe")</f>
        <v>8</v>
      </c>
      <c r="F13" s="4" t="n">
        <f aca="false">COUNTIFS(VOC_Synthetic!$AC$4:$AC$53,$A13,VOC_Synthetic!$T$4:$T$53,"No")</f>
        <v>4</v>
      </c>
      <c r="G13" s="4" t="s">
        <v>446</v>
      </c>
    </row>
    <row r="14" customFormat="false" ht="23.85" hidden="false" customHeight="false" outlineLevel="0" collapsed="false">
      <c r="A14" s="3" t="s">
        <v>122</v>
      </c>
      <c r="B14" s="4" t="s">
        <v>447</v>
      </c>
      <c r="C14" s="4" t="n">
        <f aca="false">COUNTIF(VOC_Synthetic!$AC$4:$AC$53,A14)</f>
        <v>18</v>
      </c>
      <c r="D14" s="4" t="n">
        <f aca="false">COUNTIFS(VOC_Synthetic!$AC$4:$AC$53,$A14,VOC_Synthetic!$T$4:$T$53,"Yes")</f>
        <v>1</v>
      </c>
      <c r="E14" s="4" t="n">
        <f aca="false">COUNTIFS(VOC_Synthetic!$AC$4:$AC$53,$A14,VOC_Synthetic!$T$4:$T$53,"Maybe")</f>
        <v>4</v>
      </c>
      <c r="F14" s="4" t="n">
        <f aca="false">COUNTIFS(VOC_Synthetic!$AC$4:$AC$53,$A14,VOC_Synthetic!$T$4:$T$53,"No")</f>
        <v>13</v>
      </c>
      <c r="G14" s="4" t="s">
        <v>448</v>
      </c>
    </row>
    <row r="15" customFormat="false" ht="15" hidden="false" customHeight="false" outlineLevel="0" collapsed="false">
      <c r="A15" s="3" t="s">
        <v>449</v>
      </c>
      <c r="C15" s="3" t="n">
        <f aca="false">SUM(C12:C14)</f>
        <v>50</v>
      </c>
      <c r="D15" s="3" t="n">
        <f aca="false">SUM(D12:D14)</f>
        <v>12</v>
      </c>
      <c r="E15" s="3" t="n">
        <f aca="false">SUM(E12:E14)</f>
        <v>21</v>
      </c>
      <c r="F15" s="3" t="n">
        <f aca="false">SUM(F12:F14)</f>
        <v>17</v>
      </c>
    </row>
    <row r="17" customFormat="false" ht="15" hidden="false" customHeight="false" outlineLevel="0" collapsed="false">
      <c r="A17" s="11" t="s">
        <v>450</v>
      </c>
      <c r="B17" s="11" t="s">
        <v>451</v>
      </c>
      <c r="C17" s="11" t="s">
        <v>441</v>
      </c>
      <c r="D17" s="11" t="s">
        <v>115</v>
      </c>
      <c r="E17" s="11" t="s">
        <v>136</v>
      </c>
      <c r="F17" s="11" t="s">
        <v>114</v>
      </c>
      <c r="G17" s="11"/>
    </row>
    <row r="18" customFormat="false" ht="15" hidden="false" customHeight="false" outlineLevel="0" collapsed="false">
      <c r="A18" s="4" t="s">
        <v>120</v>
      </c>
      <c r="B18" s="4"/>
      <c r="C18" s="4" t="n">
        <f aca="false">COUNTIF(VOC_Synthetic!$AA$4:$AA$53,A18)</f>
        <v>19</v>
      </c>
      <c r="D18" s="4" t="n">
        <f aca="false">COUNTIFS(VOC_Synthetic!$AA$4:$AA$53,$A18,VOC_Synthetic!$T$4:$T$53,"Yes")</f>
        <v>4</v>
      </c>
      <c r="E18" s="4" t="n">
        <f aca="false">COUNTIFS(VOC_Synthetic!$AA$4:$AA$53,$A18,VOC_Synthetic!$T$4:$T$53,"Maybe")</f>
        <v>6</v>
      </c>
      <c r="F18" s="4" t="n">
        <f aca="false">COUNTIFS(VOC_Synthetic!$AA$4:$AA$53,$A18,VOC_Synthetic!$T$4:$T$53,"No")</f>
        <v>9</v>
      </c>
    </row>
    <row r="19" customFormat="false" ht="15" hidden="false" customHeight="false" outlineLevel="0" collapsed="false">
      <c r="A19" s="4" t="s">
        <v>141</v>
      </c>
      <c r="B19" s="4"/>
      <c r="C19" s="4" t="n">
        <f aca="false">COUNTIF(VOC_Synthetic!$AA$4:$AA$53,A19)</f>
        <v>17</v>
      </c>
      <c r="D19" s="4" t="n">
        <f aca="false">COUNTIFS(VOC_Synthetic!$AA$4:$AA$53,$A19,VOC_Synthetic!$T$4:$T$53,"Yes")</f>
        <v>4</v>
      </c>
      <c r="E19" s="4" t="n">
        <f aca="false">COUNTIFS(VOC_Synthetic!$AA$4:$AA$53,$A19,VOC_Synthetic!$T$4:$T$53,"Maybe")</f>
        <v>11</v>
      </c>
      <c r="F19" s="4" t="n">
        <f aca="false">COUNTIFS(VOC_Synthetic!$AA$4:$AA$53,$A19,VOC_Synthetic!$T$4:$T$53,"No")</f>
        <v>2</v>
      </c>
    </row>
    <row r="20" customFormat="false" ht="15" hidden="false" customHeight="false" outlineLevel="0" collapsed="false">
      <c r="A20" s="4" t="s">
        <v>251</v>
      </c>
      <c r="B20" s="4"/>
      <c r="C20" s="4" t="n">
        <f aca="false">COUNTIF(VOC_Synthetic!$AA$4:$AA$53,A20)</f>
        <v>6</v>
      </c>
      <c r="D20" s="4" t="n">
        <f aca="false">COUNTIFS(VOC_Synthetic!$AA$4:$AA$53,$A20,VOC_Synthetic!$T$4:$T$53,"Yes")</f>
        <v>3</v>
      </c>
      <c r="E20" s="4" t="n">
        <f aca="false">COUNTIFS(VOC_Synthetic!$AA$4:$AA$53,$A20,VOC_Synthetic!$T$4:$T$53,"Maybe")</f>
        <v>3</v>
      </c>
      <c r="F20" s="4" t="n">
        <f aca="false">COUNTIFS(VOC_Synthetic!$AA$4:$AA$53,$A20,VOC_Synthetic!$T$4:$T$53,"No")</f>
        <v>0</v>
      </c>
    </row>
    <row r="21" customFormat="false" ht="15" hidden="false" customHeight="false" outlineLevel="0" collapsed="false">
      <c r="A21" s="3" t="s">
        <v>452</v>
      </c>
      <c r="C21" s="3" t="n">
        <f aca="false">SUM(C18:C20)</f>
        <v>42</v>
      </c>
    </row>
    <row r="23" customFormat="false" ht="15" hidden="false" customHeight="false" outlineLevel="0" collapsed="false">
      <c r="A23" s="11" t="s">
        <v>453</v>
      </c>
      <c r="B23" s="11" t="s">
        <v>454</v>
      </c>
      <c r="C23" s="11" t="s">
        <v>455</v>
      </c>
      <c r="D23" s="11"/>
      <c r="E23" s="11"/>
      <c r="F23" s="11"/>
      <c r="G23" s="11" t="s">
        <v>388</v>
      </c>
    </row>
    <row r="24" customFormat="false" ht="15" hidden="false" customHeight="false" outlineLevel="0" collapsed="false">
      <c r="A24" s="3" t="s">
        <v>456</v>
      </c>
      <c r="B24" s="4" t="s">
        <v>457</v>
      </c>
      <c r="C24" s="13" t="n">
        <f aca="false">C19+C20</f>
        <v>23</v>
      </c>
      <c r="G24" s="4" t="s">
        <v>7</v>
      </c>
    </row>
    <row r="25" customFormat="false" ht="15" hidden="false" customHeight="false" outlineLevel="0" collapsed="false">
      <c r="A25" s="3" t="s">
        <v>458</v>
      </c>
      <c r="B25" s="4" t="s">
        <v>459</v>
      </c>
      <c r="C25" s="17" t="n">
        <f aca="false">C24/C21</f>
        <v>0.547619047619048</v>
      </c>
      <c r="G25" s="4" t="s">
        <v>460</v>
      </c>
    </row>
    <row r="26" customFormat="false" ht="15" hidden="false" customHeight="false" outlineLevel="0" collapsed="false">
      <c r="A26" s="3" t="s">
        <v>461</v>
      </c>
      <c r="B26" s="4" t="s">
        <v>462</v>
      </c>
      <c r="C26" s="13" t="n">
        <f aca="false">C12</f>
        <v>16</v>
      </c>
      <c r="G26" s="4" t="s">
        <v>7</v>
      </c>
    </row>
    <row r="27" customFormat="false" ht="15" hidden="false" customHeight="false" outlineLevel="0" collapsed="false">
      <c r="A27" s="3" t="s">
        <v>463</v>
      </c>
      <c r="B27" s="4" t="s">
        <v>464</v>
      </c>
      <c r="C27" s="17" t="n">
        <f aca="false">C26/C24</f>
        <v>0.695652173913044</v>
      </c>
      <c r="G27" s="4" t="s">
        <v>7</v>
      </c>
    </row>
    <row r="28" customFormat="false" ht="15" hidden="false" customHeight="false" outlineLevel="0" collapsed="false">
      <c r="A28" s="3" t="s">
        <v>465</v>
      </c>
      <c r="B28" s="4" t="s">
        <v>466</v>
      </c>
      <c r="C28" s="13" t="n">
        <f aca="false">D12</f>
        <v>7</v>
      </c>
      <c r="G28" s="4" t="s">
        <v>7</v>
      </c>
    </row>
    <row r="29" customFormat="false" ht="15" hidden="false" customHeight="false" outlineLevel="0" collapsed="false">
      <c r="A29" s="3" t="s">
        <v>467</v>
      </c>
      <c r="B29" s="4" t="s">
        <v>468</v>
      </c>
      <c r="C29" s="13" t="n">
        <f aca="false">E12</f>
        <v>9</v>
      </c>
      <c r="G29" s="4" t="s">
        <v>7</v>
      </c>
    </row>
    <row r="30" customFormat="false" ht="15" hidden="false" customHeight="false" outlineLevel="0" collapsed="false">
      <c r="A30" s="3" t="s">
        <v>469</v>
      </c>
      <c r="B30" s="4" t="s">
        <v>470</v>
      </c>
      <c r="C30" s="13" t="n">
        <f aca="false">COUNTIFS(VOC_Synthetic!$AC$4:$AC$53,"Group 1",VOC_Synthetic!$L$4:$L$53,"Never")+COUNTIFS(VOC_Synthetic!$AC$4:$AC$53,"Group 1",VOC_Synthetic!$L$4:$L$53,"Rarely")</f>
        <v>9</v>
      </c>
      <c r="G30" s="4" t="s">
        <v>7</v>
      </c>
    </row>
    <row r="31" customFormat="false" ht="15" hidden="false" customHeight="false" outlineLevel="0" collapsed="false">
      <c r="A31" s="3" t="s">
        <v>471</v>
      </c>
      <c r="B31" s="4" t="s">
        <v>472</v>
      </c>
      <c r="C31" s="17" t="n">
        <f aca="false">C30/C26</f>
        <v>0.5625</v>
      </c>
      <c r="G31" s="4" t="s">
        <v>7</v>
      </c>
    </row>
    <row r="32" customFormat="false" ht="15" hidden="false" customHeight="false" outlineLevel="0" collapsed="false">
      <c r="A32" s="3" t="s">
        <v>473</v>
      </c>
      <c r="B32" s="4" t="s">
        <v>474</v>
      </c>
      <c r="C32" s="4" t="str">
        <f aca="false">F18&amp;" of "&amp;C18</f>
        <v>9 of 19</v>
      </c>
      <c r="G32" s="4" t="s">
        <v>7</v>
      </c>
    </row>
    <row r="33" customFormat="false" ht="15" hidden="false" customHeight="false" outlineLevel="0" collapsed="false">
      <c r="A33" s="3" t="s">
        <v>475</v>
      </c>
      <c r="B33" s="4" t="s">
        <v>476</v>
      </c>
      <c r="C33" s="13" t="n">
        <f aca="false">COUNTA(VOC_Synthetic!$A$4:$A$53)-COUNTIF(VOC_Synthetic!$H$4:$H$53,"Weekly")-COUNTIF(VOC_Synthetic!$H$4:$H$53,"Rarely")</f>
        <v>41</v>
      </c>
      <c r="G33" s="4" t="s">
        <v>7</v>
      </c>
    </row>
    <row r="34" customFormat="false" ht="23.85" hidden="false" customHeight="false" outlineLevel="0" collapsed="false">
      <c r="A34" s="3" t="s">
        <v>477</v>
      </c>
      <c r="B34" s="4" t="s">
        <v>478</v>
      </c>
      <c r="C34" s="13" t="n">
        <f aca="false">COUNTIF(VOC_Synthetic!$AD$4:$AD$53,"Y")</f>
        <v>11</v>
      </c>
      <c r="G34" s="4" t="s">
        <v>479</v>
      </c>
    </row>
    <row r="35" customFormat="false" ht="15" hidden="false" customHeight="false" outlineLevel="0" collapsed="false">
      <c r="A35" s="3" t="s">
        <v>480</v>
      </c>
      <c r="B35" s="4" t="s">
        <v>481</v>
      </c>
      <c r="C35" s="13" t="n">
        <f aca="false">COUNTIFS(VOC_Synthetic!$AC$4:$AC$53,"Group 1",VOC_Synthetic!$AD$4:$AD$53,"Y")</f>
        <v>0</v>
      </c>
      <c r="G35" s="4" t="s">
        <v>479</v>
      </c>
    </row>
    <row r="37" customFormat="false" ht="15" hidden="false" customHeight="false" outlineLevel="0" collapsed="false">
      <c r="A37" s="11" t="s">
        <v>482</v>
      </c>
      <c r="B37" s="11" t="s">
        <v>442</v>
      </c>
      <c r="C37" s="11" t="s">
        <v>441</v>
      </c>
      <c r="D37" s="11" t="s">
        <v>115</v>
      </c>
      <c r="E37" s="11" t="s">
        <v>136</v>
      </c>
      <c r="F37" s="11" t="s">
        <v>114</v>
      </c>
      <c r="G37" s="11"/>
    </row>
    <row r="38" customFormat="false" ht="23.85" hidden="false" customHeight="false" outlineLevel="0" collapsed="false">
      <c r="A38" s="4" t="s">
        <v>188</v>
      </c>
      <c r="B38" s="4" t="s">
        <v>444</v>
      </c>
      <c r="C38" s="4" t="n">
        <f aca="false">COUNTIF(VOC_Synthetic!$AB$4:$AB$53,A38)</f>
        <v>16</v>
      </c>
      <c r="D38" s="4" t="n">
        <f aca="false">COUNTIFS(VOC_Synthetic!$AB$4:$AB$53,$A38,VOC_Synthetic!$T$4:$T$53,"Yes")</f>
        <v>7</v>
      </c>
      <c r="E38" s="4" t="n">
        <f aca="false">COUNTIFS(VOC_Synthetic!$AB$4:$AB$53,$A38,VOC_Synthetic!$T$4:$T$53,"Maybe")</f>
        <v>9</v>
      </c>
      <c r="F38" s="4" t="n">
        <f aca="false">COUNTIFS(VOC_Synthetic!$AB$4:$AB$53,$A38,VOC_Synthetic!$T$4:$T$53,"No")</f>
        <v>0</v>
      </c>
    </row>
    <row r="39" customFormat="false" ht="15" hidden="false" customHeight="false" outlineLevel="0" collapsed="false">
      <c r="A39" s="4" t="s">
        <v>142</v>
      </c>
      <c r="B39" s="4" t="s">
        <v>483</v>
      </c>
      <c r="C39" s="4" t="n">
        <f aca="false">COUNTIF(VOC_Synthetic!$AB$4:$AB$53,A39)</f>
        <v>7</v>
      </c>
      <c r="D39" s="4" t="n">
        <f aca="false">COUNTIFS(VOC_Synthetic!$AB$4:$AB$53,$A39,VOC_Synthetic!$T$4:$T$53,"Yes")</f>
        <v>0</v>
      </c>
      <c r="E39" s="4" t="n">
        <f aca="false">COUNTIFS(VOC_Synthetic!$AB$4:$AB$53,$A39,VOC_Synthetic!$T$4:$T$53,"Maybe")</f>
        <v>5</v>
      </c>
      <c r="F39" s="4" t="n">
        <f aca="false">COUNTIFS(VOC_Synthetic!$AB$4:$AB$53,$A39,VOC_Synthetic!$T$4:$T$53,"No")</f>
        <v>2</v>
      </c>
    </row>
    <row r="40" customFormat="false" ht="15" hidden="false" customHeight="false" outlineLevel="0" collapsed="false">
      <c r="A40" s="4" t="s">
        <v>217</v>
      </c>
      <c r="B40" s="4" t="s">
        <v>484</v>
      </c>
      <c r="C40" s="4" t="n">
        <f aca="false">COUNTIF(VOC_Synthetic!$AB$4:$AB$53,A40)</f>
        <v>9</v>
      </c>
      <c r="D40" s="4" t="n">
        <f aca="false">COUNTIFS(VOC_Synthetic!$AB$4:$AB$53,$A40,VOC_Synthetic!$T$4:$T$53,"Yes")</f>
        <v>4</v>
      </c>
      <c r="E40" s="4" t="n">
        <f aca="false">COUNTIFS(VOC_Synthetic!$AB$4:$AB$53,$A40,VOC_Synthetic!$T$4:$T$53,"Maybe")</f>
        <v>3</v>
      </c>
      <c r="F40" s="4" t="n">
        <f aca="false">COUNTIFS(VOC_Synthetic!$AB$4:$AB$53,$A40,VOC_Synthetic!$T$4:$T$53,"No")</f>
        <v>2</v>
      </c>
    </row>
    <row r="41" customFormat="false" ht="15" hidden="false" customHeight="false" outlineLevel="0" collapsed="false">
      <c r="A41" s="4" t="s">
        <v>121</v>
      </c>
      <c r="B41" s="4" t="s">
        <v>485</v>
      </c>
      <c r="C41" s="4" t="n">
        <f aca="false">COUNTIF(VOC_Synthetic!$AB$4:$AB$53,A41)</f>
        <v>8</v>
      </c>
      <c r="D41" s="4" t="n">
        <f aca="false">COUNTIFS(VOC_Synthetic!$AB$4:$AB$53,$A41,VOC_Synthetic!$T$4:$T$53,"Yes")</f>
        <v>0</v>
      </c>
      <c r="E41" s="4" t="n">
        <f aca="false">COUNTIFS(VOC_Synthetic!$AB$4:$AB$53,$A41,VOC_Synthetic!$T$4:$T$53,"Maybe")</f>
        <v>2</v>
      </c>
      <c r="F41" s="4" t="n">
        <f aca="false">COUNTIFS(VOC_Synthetic!$AB$4:$AB$53,$A41,VOC_Synthetic!$T$4:$T$53,"No")</f>
        <v>6</v>
      </c>
    </row>
    <row r="42" customFormat="false" ht="15" hidden="false" customHeight="false" outlineLevel="0" collapsed="false">
      <c r="A42" s="4" t="s">
        <v>283</v>
      </c>
      <c r="B42" s="4" t="s">
        <v>486</v>
      </c>
      <c r="C42" s="4" t="n">
        <f aca="false">COUNTIF(VOC_Synthetic!$AB$4:$AB$53,A42)</f>
        <v>2</v>
      </c>
      <c r="D42" s="4" t="n">
        <f aca="false">COUNTIFS(VOC_Synthetic!$AB$4:$AB$53,$A42,VOC_Synthetic!$T$4:$T$53,"Yes")</f>
        <v>0</v>
      </c>
      <c r="E42" s="4" t="n">
        <f aca="false">COUNTIFS(VOC_Synthetic!$AB$4:$AB$53,$A42,VOC_Synthetic!$T$4:$T$53,"Maybe")</f>
        <v>1</v>
      </c>
      <c r="F42" s="4" t="n">
        <f aca="false">COUNTIFS(VOC_Synthetic!$AB$4:$AB$53,$A42,VOC_Synthetic!$T$4:$T$53,"No")</f>
        <v>1</v>
      </c>
    </row>
    <row r="43" customFormat="false" ht="15" hidden="false" customHeight="false" outlineLevel="0" collapsed="false">
      <c r="A43" s="4" t="s">
        <v>237</v>
      </c>
      <c r="B43" s="4" t="s">
        <v>487</v>
      </c>
      <c r="C43" s="4" t="n">
        <f aca="false">COUNTIF(VOC_Synthetic!$AB$4:$AB$53,A43)</f>
        <v>8</v>
      </c>
      <c r="D43" s="4" t="n">
        <f aca="false">COUNTIFS(VOC_Synthetic!$AB$4:$AB$53,$A43,VOC_Synthetic!$T$4:$T$53,"Yes")</f>
        <v>1</v>
      </c>
      <c r="E43" s="4" t="n">
        <f aca="false">COUNTIFS(VOC_Synthetic!$AB$4:$AB$53,$A43,VOC_Synthetic!$T$4:$T$53,"Maybe")</f>
        <v>1</v>
      </c>
      <c r="F43" s="4" t="n">
        <f aca="false">COUNTIFS(VOC_Synthetic!$AB$4:$AB$53,$A43,VOC_Synthetic!$T$4:$T$53,"No")</f>
        <v>6</v>
      </c>
    </row>
  </sheetData>
  <mergeCells count="5">
    <mergeCell ref="A5:B5"/>
    <mergeCell ref="A6:B6"/>
    <mergeCell ref="A7:B7"/>
    <mergeCell ref="A8:B8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64"/>
  </cols>
  <sheetData>
    <row r="1" customFormat="false" ht="17.35" hidden="false" customHeight="false" outlineLevel="0" collapsed="false">
      <c r="A1" s="1" t="s">
        <v>488</v>
      </c>
    </row>
    <row r="2" customFormat="false" ht="15" hidden="false" customHeight="false" outlineLevel="0" collapsed="false">
      <c r="A2" s="2" t="s">
        <v>489</v>
      </c>
    </row>
    <row r="4" customFormat="false" ht="15" hidden="false" customHeight="false" outlineLevel="0" collapsed="false">
      <c r="A4" s="11" t="s">
        <v>490</v>
      </c>
      <c r="B4" s="11" t="s">
        <v>491</v>
      </c>
      <c r="C4" s="11" t="s">
        <v>492</v>
      </c>
      <c r="D4" s="11" t="s">
        <v>493</v>
      </c>
      <c r="E4" s="11" t="s">
        <v>494</v>
      </c>
    </row>
    <row r="5" customFormat="false" ht="15" hidden="false" customHeight="false" outlineLevel="0" collapsed="false">
      <c r="A5" s="4" t="s">
        <v>495</v>
      </c>
      <c r="B5" s="18" t="n">
        <v>15700000</v>
      </c>
      <c r="C5" s="18" t="n">
        <v>15700000</v>
      </c>
      <c r="D5" s="18" t="n">
        <v>15700000</v>
      </c>
      <c r="E5" s="4" t="s">
        <v>496</v>
      </c>
    </row>
    <row r="6" customFormat="false" ht="15" hidden="false" customHeight="false" outlineLevel="0" collapsed="false">
      <c r="A6" s="4" t="s">
        <v>497</v>
      </c>
      <c r="B6" s="19" t="n">
        <v>0.35</v>
      </c>
      <c r="C6" s="19" t="n">
        <v>0.5</v>
      </c>
      <c r="D6" s="19" t="n">
        <v>0.6</v>
      </c>
      <c r="E6" s="4" t="s">
        <v>498</v>
      </c>
    </row>
    <row r="7" customFormat="false" ht="15" hidden="false" customHeight="false" outlineLevel="0" collapsed="false">
      <c r="A7" s="4" t="s">
        <v>499</v>
      </c>
      <c r="B7" s="20" t="n">
        <f aca="false">Segment_Rules!$C$25</f>
        <v>0.547619047619048</v>
      </c>
      <c r="C7" s="20" t="n">
        <f aca="false">Segment_Rules!$C$25</f>
        <v>0.547619047619048</v>
      </c>
      <c r="D7" s="20" t="n">
        <f aca="false">Segment_Rules!$C$25</f>
        <v>0.547619047619048</v>
      </c>
      <c r="E7" s="4" t="s">
        <v>500</v>
      </c>
    </row>
    <row r="8" customFormat="false" ht="15" hidden="false" customHeight="false" outlineLevel="0" collapsed="false">
      <c r="A8" s="4" t="s">
        <v>501</v>
      </c>
      <c r="B8" s="21" t="n">
        <f aca="false">Segment_Rules!$C$27</f>
        <v>0.695652173913044</v>
      </c>
      <c r="C8" s="21" t="n">
        <f aca="false">Segment_Rules!$C$27</f>
        <v>0.695652173913044</v>
      </c>
      <c r="D8" s="21" t="n">
        <f aca="false">Segment_Rules!$C$27</f>
        <v>0.695652173913044</v>
      </c>
      <c r="E8" s="4" t="s">
        <v>502</v>
      </c>
    </row>
    <row r="9" customFormat="false" ht="15" hidden="false" customHeight="false" outlineLevel="0" collapsed="false">
      <c r="A9" s="3" t="s">
        <v>503</v>
      </c>
      <c r="B9" s="22" t="n">
        <f aca="false">B5*B6*B7*B8</f>
        <v>2093333.33333333</v>
      </c>
      <c r="C9" s="22" t="n">
        <f aca="false">C5*C6*C7*C8</f>
        <v>2990476.19047619</v>
      </c>
      <c r="D9" s="22" t="n">
        <f aca="false">D5*D6*D7*D8</f>
        <v>3588571.42857143</v>
      </c>
      <c r="E9" s="4" t="s">
        <v>504</v>
      </c>
    </row>
    <row r="10" customFormat="false" ht="15" hidden="false" customHeight="false" outlineLevel="0" collapsed="false">
      <c r="A10" s="4" t="s">
        <v>505</v>
      </c>
      <c r="B10" s="23" t="n">
        <v>0.25</v>
      </c>
      <c r="C10" s="23" t="n">
        <v>0.4</v>
      </c>
      <c r="D10" s="23" t="n">
        <v>0.55</v>
      </c>
      <c r="E10" s="4" t="s">
        <v>506</v>
      </c>
    </row>
    <row r="11" customFormat="false" ht="15" hidden="false" customHeight="false" outlineLevel="0" collapsed="false">
      <c r="A11" s="3" t="s">
        <v>507</v>
      </c>
      <c r="B11" s="22" t="n">
        <f aca="false">B9*B10</f>
        <v>523333.333333333</v>
      </c>
      <c r="C11" s="22" t="n">
        <f aca="false">C9*C10</f>
        <v>1196190.47619048</v>
      </c>
      <c r="D11" s="22" t="n">
        <f aca="false">D9*D10</f>
        <v>1973714.28571429</v>
      </c>
      <c r="E11" s="4" t="s">
        <v>504</v>
      </c>
    </row>
    <row r="12" customFormat="false" ht="15" hidden="false" customHeight="false" outlineLevel="0" collapsed="false">
      <c r="A12" s="4" t="s">
        <v>508</v>
      </c>
      <c r="B12" s="24" t="n">
        <v>0.25</v>
      </c>
      <c r="C12" s="24" t="n">
        <v>0.4</v>
      </c>
      <c r="D12" s="24" t="n">
        <v>0.6</v>
      </c>
      <c r="E12" s="4" t="s">
        <v>506</v>
      </c>
    </row>
    <row r="13" customFormat="false" ht="15" hidden="false" customHeight="false" outlineLevel="0" collapsed="false">
      <c r="A13" s="4" t="s">
        <v>509</v>
      </c>
      <c r="B13" s="24" t="n">
        <v>0.05</v>
      </c>
      <c r="C13" s="24" t="n">
        <v>0.1</v>
      </c>
      <c r="D13" s="24" t="n">
        <v>0.2</v>
      </c>
      <c r="E13" s="4" t="s">
        <v>506</v>
      </c>
    </row>
    <row r="14" customFormat="false" ht="15" hidden="false" customHeight="false" outlineLevel="0" collapsed="false">
      <c r="A14" s="4" t="s">
        <v>510</v>
      </c>
      <c r="B14" s="25" t="n">
        <f aca="false">Segment_Rules!$C$28</f>
        <v>7</v>
      </c>
      <c r="C14" s="25" t="n">
        <f aca="false">Segment_Rules!$C$28</f>
        <v>7</v>
      </c>
      <c r="D14" s="25" t="n">
        <f aca="false">Segment_Rules!$C$28</f>
        <v>7</v>
      </c>
      <c r="E14" s="4" t="s">
        <v>511</v>
      </c>
    </row>
    <row r="15" customFormat="false" ht="15" hidden="false" customHeight="false" outlineLevel="0" collapsed="false">
      <c r="A15" s="4" t="s">
        <v>512</v>
      </c>
      <c r="B15" s="25" t="n">
        <f aca="false">Segment_Rules!$C$29</f>
        <v>9</v>
      </c>
      <c r="C15" s="25" t="n">
        <f aca="false">Segment_Rules!$C$29</f>
        <v>9</v>
      </c>
      <c r="D15" s="25" t="n">
        <f aca="false">Segment_Rules!$C$29</f>
        <v>9</v>
      </c>
      <c r="E15" s="4" t="s">
        <v>513</v>
      </c>
    </row>
    <row r="16" customFormat="false" ht="15" hidden="false" customHeight="false" outlineLevel="0" collapsed="false">
      <c r="A16" s="4" t="s">
        <v>461</v>
      </c>
      <c r="B16" s="25" t="n">
        <f aca="false">Segment_Rules!$C$26</f>
        <v>16</v>
      </c>
      <c r="C16" s="25" t="n">
        <f aca="false">Segment_Rules!$C$26</f>
        <v>16</v>
      </c>
      <c r="D16" s="25" t="n">
        <f aca="false">Segment_Rules!$C$26</f>
        <v>16</v>
      </c>
      <c r="E16" s="4" t="s">
        <v>514</v>
      </c>
    </row>
    <row r="17" customFormat="false" ht="15" hidden="false" customHeight="false" outlineLevel="0" collapsed="false">
      <c r="A17" s="4" t="s">
        <v>515</v>
      </c>
      <c r="B17" s="26" t="n">
        <f aca="false">(B12*B14+B13*B15)/B16</f>
        <v>0.1375</v>
      </c>
      <c r="C17" s="26" t="n">
        <f aca="false">(C12*C14+C13*C15)/C16</f>
        <v>0.23125</v>
      </c>
      <c r="D17" s="26" t="n">
        <f aca="false">(D12*D14+D13*D15)/D16</f>
        <v>0.375</v>
      </c>
      <c r="E17" s="4" t="s">
        <v>516</v>
      </c>
    </row>
    <row r="18" customFormat="false" ht="15" hidden="false" customHeight="false" outlineLevel="0" collapsed="false">
      <c r="A18" s="3" t="s">
        <v>517</v>
      </c>
      <c r="B18" s="22" t="n">
        <f aca="false">B11*B17</f>
        <v>71958.3333333333</v>
      </c>
      <c r="C18" s="22" t="n">
        <f aca="false">C11*C17</f>
        <v>276619.047619048</v>
      </c>
      <c r="D18" s="22" t="n">
        <f aca="false">D11*D17</f>
        <v>740142.857142857</v>
      </c>
      <c r="E18" s="4" t="s">
        <v>504</v>
      </c>
    </row>
    <row r="19" customFormat="false" ht="15" hidden="false" customHeight="false" outlineLevel="0" collapsed="false">
      <c r="A19" s="4" t="s">
        <v>518</v>
      </c>
      <c r="B19" s="27" t="n">
        <v>0.35</v>
      </c>
      <c r="C19" s="27" t="n">
        <v>0.5</v>
      </c>
      <c r="D19" s="27" t="n">
        <v>0.65</v>
      </c>
      <c r="E19" s="4" t="s">
        <v>506</v>
      </c>
    </row>
    <row r="20" customFormat="false" ht="15" hidden="false" customHeight="false" outlineLevel="0" collapsed="false">
      <c r="A20" s="3" t="s">
        <v>519</v>
      </c>
      <c r="B20" s="22" t="n">
        <f aca="false">B18*B19</f>
        <v>25185.4166666667</v>
      </c>
      <c r="C20" s="22" t="n">
        <f aca="false">C18*C19</f>
        <v>138309.523809524</v>
      </c>
      <c r="D20" s="22" t="n">
        <f aca="false">D18*D19</f>
        <v>481092.857142857</v>
      </c>
      <c r="E20" s="4" t="s">
        <v>504</v>
      </c>
    </row>
    <row r="21" customFormat="false" ht="15" hidden="false" customHeight="false" outlineLevel="0" collapsed="false">
      <c r="A21" s="4" t="s">
        <v>471</v>
      </c>
      <c r="B21" s="21" t="n">
        <f aca="false">Segment_Rules!$C$31</f>
        <v>0.5625</v>
      </c>
      <c r="C21" s="21" t="n">
        <f aca="false">Segment_Rules!$C$31</f>
        <v>0.5625</v>
      </c>
      <c r="D21" s="21" t="n">
        <f aca="false">Segment_Rules!$C$31</f>
        <v>0.5625</v>
      </c>
      <c r="E21" s="4" t="s">
        <v>520</v>
      </c>
    </row>
    <row r="22" customFormat="false" ht="15" hidden="false" customHeight="false" outlineLevel="0" collapsed="false">
      <c r="A22" s="3" t="s">
        <v>521</v>
      </c>
      <c r="B22" s="22" t="n">
        <f aca="false">B20*B21</f>
        <v>14166.796875</v>
      </c>
      <c r="C22" s="22" t="n">
        <f aca="false">C20*C21</f>
        <v>77799.1071428572</v>
      </c>
      <c r="D22" s="22" t="n">
        <f aca="false">D20*D21</f>
        <v>270614.732142857</v>
      </c>
      <c r="E22" s="4" t="s">
        <v>504</v>
      </c>
    </row>
    <row r="23" customFormat="false" ht="15" hidden="false" customHeight="false" outlineLevel="0" collapsed="false">
      <c r="A23" s="4" t="s">
        <v>522</v>
      </c>
      <c r="B23" s="28" t="n">
        <v>4.3</v>
      </c>
      <c r="C23" s="28" t="n">
        <v>4.3</v>
      </c>
      <c r="D23" s="28" t="n">
        <v>4.3</v>
      </c>
      <c r="E23" s="4" t="s">
        <v>523</v>
      </c>
    </row>
    <row r="24" customFormat="false" ht="23.85" hidden="false" customHeight="false" outlineLevel="0" collapsed="false">
      <c r="A24" s="4" t="s">
        <v>524</v>
      </c>
      <c r="B24" s="29" t="n">
        <f aca="false">(2.5*B23+4*B23+5*B23+26)/4</f>
        <v>18.8625</v>
      </c>
      <c r="C24" s="29" t="n">
        <f aca="false">(2.5*C23+4*C23+5*C23+26)/4</f>
        <v>18.8625</v>
      </c>
      <c r="D24" s="29" t="n">
        <f aca="false">(2.5*D23+4*D23+5*D23+26)/4</f>
        <v>18.8625</v>
      </c>
      <c r="E24" s="4" t="s">
        <v>525</v>
      </c>
    </row>
    <row r="25" customFormat="false" ht="15" hidden="false" customHeight="false" outlineLevel="0" collapsed="false">
      <c r="A25" s="4" t="s">
        <v>526</v>
      </c>
      <c r="B25" s="24" t="n">
        <v>0.25</v>
      </c>
      <c r="C25" s="24" t="n">
        <v>0.4</v>
      </c>
      <c r="D25" s="24" t="n">
        <v>0.6</v>
      </c>
      <c r="E25" s="4" t="s">
        <v>506</v>
      </c>
    </row>
    <row r="26" customFormat="false" ht="15" hidden="false" customHeight="false" outlineLevel="0" collapsed="false">
      <c r="A26" s="3" t="s">
        <v>527</v>
      </c>
      <c r="B26" s="22" t="n">
        <f aca="false">B20*B24*B25</f>
        <v>118764.98046875</v>
      </c>
      <c r="C26" s="22" t="n">
        <f aca="false">C20*C24*C25</f>
        <v>1043545.35714286</v>
      </c>
      <c r="D26" s="22" t="n">
        <f aca="false">D20*D24*D25</f>
        <v>5444768.41071429</v>
      </c>
      <c r="E26" s="4" t="s">
        <v>504</v>
      </c>
    </row>
    <row r="27" customFormat="false" ht="15" hidden="false" customHeight="false" outlineLevel="0" collapsed="false">
      <c r="A27" s="4" t="s">
        <v>528</v>
      </c>
      <c r="B27" s="18" t="n">
        <v>2000</v>
      </c>
      <c r="C27" s="18" t="n">
        <v>2500</v>
      </c>
      <c r="D27" s="18" t="n">
        <v>3500</v>
      </c>
      <c r="E27" s="4" t="s">
        <v>506</v>
      </c>
    </row>
    <row r="28" customFormat="false" ht="23.85" hidden="false" customHeight="false" outlineLevel="0" collapsed="false">
      <c r="A28" s="4" t="s">
        <v>529</v>
      </c>
      <c r="B28" s="24" t="n">
        <v>0.15</v>
      </c>
      <c r="C28" s="24" t="n">
        <v>0.15</v>
      </c>
      <c r="D28" s="24" t="n">
        <v>0.15</v>
      </c>
      <c r="E28" s="4" t="s">
        <v>530</v>
      </c>
    </row>
    <row r="29" customFormat="false" ht="15" hidden="false" customHeight="false" outlineLevel="0" collapsed="false">
      <c r="A29" s="3" t="s">
        <v>531</v>
      </c>
      <c r="B29" s="22" t="n">
        <f aca="false">B26*B27*(1-B28)</f>
        <v>201900466.796875</v>
      </c>
      <c r="C29" s="22" t="n">
        <f aca="false">C26*C27*(1-C28)</f>
        <v>2217533883.92857</v>
      </c>
      <c r="D29" s="22" t="n">
        <f aca="false">D26*D27*(1-D28)</f>
        <v>16198186021.875</v>
      </c>
      <c r="E29" s="4" t="s">
        <v>504</v>
      </c>
    </row>
    <row r="30" customFormat="false" ht="15" hidden="false" customHeight="false" outlineLevel="0" collapsed="false">
      <c r="A30" s="3" t="s">
        <v>532</v>
      </c>
      <c r="B30" s="30" t="n">
        <f aca="false">B29/10^7</f>
        <v>20.1900466796875</v>
      </c>
      <c r="C30" s="30" t="n">
        <f aca="false">C29/10^7</f>
        <v>221.753388392857</v>
      </c>
      <c r="D30" s="30" t="n">
        <f aca="false">D29/10^7</f>
        <v>1619.8186021875</v>
      </c>
      <c r="E30" s="4" t="s">
        <v>504</v>
      </c>
    </row>
    <row r="31" customFormat="false" ht="15" hidden="false" customHeight="false" outlineLevel="0" collapsed="false">
      <c r="A31" s="3" t="s">
        <v>533</v>
      </c>
      <c r="B31" s="22" t="n">
        <f aca="false">B30*12</f>
        <v>242.28056015625</v>
      </c>
      <c r="C31" s="22" t="n">
        <f aca="false">C30*12</f>
        <v>2661.04066071429</v>
      </c>
      <c r="D31" s="22" t="n">
        <f aca="false">D30*12</f>
        <v>19437.82322625</v>
      </c>
      <c r="E31" s="4" t="s">
        <v>534</v>
      </c>
    </row>
    <row r="32" customFormat="false" ht="15" hidden="false" customHeight="false" outlineLevel="0" collapsed="false">
      <c r="A32" s="3" t="s">
        <v>535</v>
      </c>
      <c r="B32" s="31" t="n">
        <f aca="false">B22/B11*1000</f>
        <v>27.0703125</v>
      </c>
      <c r="C32" s="31" t="n">
        <f aca="false">C22/C11*1000</f>
        <v>65.0390625</v>
      </c>
      <c r="D32" s="31" t="n">
        <f aca="false">D22/D11*1000</f>
        <v>137.109375</v>
      </c>
      <c r="E32" s="4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536</v>
      </c>
    </row>
    <row r="2" customFormat="false" ht="15" hidden="false" customHeight="false" outlineLevel="0" collapsed="false">
      <c r="A2" s="2" t="s">
        <v>537</v>
      </c>
    </row>
    <row r="4" customFormat="false" ht="15" hidden="false" customHeight="false" outlineLevel="0" collapsed="false">
      <c r="A4" s="11" t="s">
        <v>538</v>
      </c>
      <c r="B4" s="11" t="s">
        <v>491</v>
      </c>
      <c r="C4" s="11" t="s">
        <v>492</v>
      </c>
      <c r="D4" s="11" t="s">
        <v>493</v>
      </c>
      <c r="E4" s="11" t="s">
        <v>539</v>
      </c>
    </row>
    <row r="5" customFormat="false" ht="15" hidden="false" customHeight="false" outlineLevel="0" collapsed="false">
      <c r="A5" s="4" t="s">
        <v>503</v>
      </c>
      <c r="B5" s="32" t="n">
        <f aca="false">Funnel_Model!B9</f>
        <v>2093333.33333333</v>
      </c>
      <c r="C5" s="32" t="n">
        <f aca="false">Funnel_Model!C9</f>
        <v>2990476.19047619</v>
      </c>
      <c r="D5" s="32" t="n">
        <f aca="false">Funnel_Model!D9</f>
        <v>3588571.42857143</v>
      </c>
      <c r="E5" s="4" t="s">
        <v>540</v>
      </c>
    </row>
    <row r="6" customFormat="false" ht="15" hidden="false" customHeight="false" outlineLevel="0" collapsed="false">
      <c r="A6" s="4" t="s">
        <v>507</v>
      </c>
      <c r="B6" s="32" t="n">
        <f aca="false">Funnel_Model!B11</f>
        <v>523333.333333333</v>
      </c>
      <c r="C6" s="32" t="n">
        <f aca="false">Funnel_Model!C11</f>
        <v>1196190.47619048</v>
      </c>
      <c r="D6" s="32" t="n">
        <f aca="false">Funnel_Model!D11</f>
        <v>1973714.28571429</v>
      </c>
      <c r="E6" s="4" t="s">
        <v>541</v>
      </c>
    </row>
    <row r="7" customFormat="false" ht="15" hidden="false" customHeight="false" outlineLevel="0" collapsed="false">
      <c r="A7" s="4" t="s">
        <v>524</v>
      </c>
      <c r="B7" s="33" t="n">
        <f aca="false">Funnel_Model!B24</f>
        <v>18.8625</v>
      </c>
      <c r="C7" s="33" t="n">
        <f aca="false">Funnel_Model!C24</f>
        <v>18.8625</v>
      </c>
      <c r="D7" s="33" t="n">
        <f aca="false">Funnel_Model!D24</f>
        <v>18.8625</v>
      </c>
      <c r="E7" s="4" t="s">
        <v>542</v>
      </c>
    </row>
    <row r="8" customFormat="false" ht="15" hidden="false" customHeight="false" outlineLevel="0" collapsed="false">
      <c r="A8" s="4" t="s">
        <v>528</v>
      </c>
      <c r="B8" s="32" t="n">
        <f aca="false">Funnel_Model!B27</f>
        <v>2000</v>
      </c>
      <c r="C8" s="32" t="n">
        <f aca="false">Funnel_Model!C27</f>
        <v>2500</v>
      </c>
      <c r="D8" s="32" t="n">
        <f aca="false">Funnel_Model!D27</f>
        <v>3500</v>
      </c>
      <c r="E8" s="4" t="s">
        <v>543</v>
      </c>
    </row>
    <row r="9" customFormat="false" ht="15" hidden="false" customHeight="false" outlineLevel="0" collapsed="false">
      <c r="A9" s="4" t="s">
        <v>544</v>
      </c>
      <c r="B9" s="34" t="n">
        <f aca="false">B5*B7*B8/10^7</f>
        <v>7897.1</v>
      </c>
      <c r="C9" s="34" t="n">
        <f aca="false">C5*C7*C8/10^7</f>
        <v>14101.9642857143</v>
      </c>
      <c r="D9" s="34" t="n">
        <f aca="false">D5*D7*D8/10^7</f>
        <v>23691.3</v>
      </c>
      <c r="E9" s="4" t="s">
        <v>545</v>
      </c>
    </row>
    <row r="10" customFormat="false" ht="15" hidden="false" customHeight="false" outlineLevel="0" collapsed="false">
      <c r="A10" s="4" t="s">
        <v>546</v>
      </c>
      <c r="B10" s="29" t="n">
        <f aca="false">B9*12/10^5</f>
        <v>0.947652</v>
      </c>
      <c r="C10" s="29" t="n">
        <f aca="false">C9*12/10^5</f>
        <v>1.69223571428571</v>
      </c>
      <c r="D10" s="29" t="n">
        <f aca="false">D9*12/10^5</f>
        <v>2.842956</v>
      </c>
      <c r="E10" s="4" t="s">
        <v>547</v>
      </c>
    </row>
    <row r="11" customFormat="false" ht="15" hidden="false" customHeight="false" outlineLevel="0" collapsed="false">
      <c r="A11" s="4" t="s">
        <v>548</v>
      </c>
      <c r="B11" s="34" t="n">
        <f aca="false">B6*B7*B8/10^7</f>
        <v>1974.275</v>
      </c>
      <c r="C11" s="34" t="n">
        <f aca="false">C6*C7*C8/10^7</f>
        <v>5640.78571428572</v>
      </c>
      <c r="D11" s="34" t="n">
        <f aca="false">D6*D7*D8/10^7</f>
        <v>13030.215</v>
      </c>
      <c r="E11" s="4" t="s">
        <v>549</v>
      </c>
    </row>
    <row r="12" customFormat="false" ht="15" hidden="false" customHeight="false" outlineLevel="0" collapsed="false">
      <c r="A12" s="4" t="s">
        <v>550</v>
      </c>
      <c r="B12" s="35" t="n">
        <f aca="false">Funnel_Model!B30</f>
        <v>20.1900466796875</v>
      </c>
      <c r="C12" s="35" t="n">
        <f aca="false">Funnel_Model!C30</f>
        <v>221.753388392857</v>
      </c>
      <c r="D12" s="35" t="n">
        <f aca="false">Funnel_Model!D30</f>
        <v>1619.8186021875</v>
      </c>
      <c r="E12" s="4" t="s">
        <v>551</v>
      </c>
    </row>
    <row r="13" customFormat="false" ht="15" hidden="false" customHeight="false" outlineLevel="0" collapsed="false">
      <c r="A13" s="3" t="s">
        <v>552</v>
      </c>
      <c r="B13" s="31" t="n">
        <f aca="false">B12/B11*100</f>
        <v>1.02265625</v>
      </c>
      <c r="C13" s="31" t="n">
        <f aca="false">C12/C11*100</f>
        <v>3.93125</v>
      </c>
      <c r="D13" s="31" t="n">
        <f aca="false">D12/D11*100</f>
        <v>12.43125</v>
      </c>
      <c r="E13" s="4" t="s">
        <v>553</v>
      </c>
    </row>
    <row r="14" customFormat="false" ht="15" hidden="false" customHeight="false" outlineLevel="0" collapsed="false">
      <c r="A14" s="3" t="s">
        <v>554</v>
      </c>
      <c r="B14" s="31" t="n">
        <f aca="false">B12/B9*100</f>
        <v>0.2556640625</v>
      </c>
      <c r="C14" s="31" t="n">
        <f aca="false">C12/C9*100</f>
        <v>1.5725</v>
      </c>
      <c r="D14" s="31" t="n">
        <f aca="false">D12/D9*100</f>
        <v>6.8371875</v>
      </c>
      <c r="E14" s="4" t="s">
        <v>555</v>
      </c>
    </row>
    <row r="15" customFormat="false" ht="15" hidden="false" customHeight="false" outlineLevel="0" collapsed="false">
      <c r="A15" s="3" t="s">
        <v>556</v>
      </c>
      <c r="B15" s="31" t="n">
        <f aca="false">Funnel_Model!B17*Funnel_Model!B19*Funnel_Model!B25*100</f>
        <v>1.203125</v>
      </c>
      <c r="C15" s="31" t="n">
        <f aca="false">Funnel_Model!C17*Funnel_Model!C19*Funnel_Model!C25*100</f>
        <v>4.625</v>
      </c>
      <c r="D15" s="31" t="n">
        <f aca="false">Funnel_Model!D17*Funnel_Model!D19*Funnel_Model!D25*100</f>
        <v>14.625</v>
      </c>
      <c r="E15" s="4" t="s">
        <v>557</v>
      </c>
    </row>
    <row r="16" customFormat="false" ht="23.85" hidden="false" customHeight="false" outlineLevel="0" collapsed="false">
      <c r="A16" s="3" t="s">
        <v>558</v>
      </c>
      <c r="B16" s="31" t="n">
        <f aca="false">B15*(1-Funnel_Model!B28)</f>
        <v>1.02265625</v>
      </c>
      <c r="C16" s="31" t="n">
        <f aca="false">C15*(1-Funnel_Model!C28)</f>
        <v>3.93125</v>
      </c>
      <c r="D16" s="31" t="n">
        <f aca="false">D15*(1-Funnel_Model!D28)</f>
        <v>12.43125</v>
      </c>
      <c r="E16" s="4" t="s">
        <v>559</v>
      </c>
    </row>
    <row r="19" customFormat="false" ht="15" hidden="false" customHeight="false" outlineLevel="0" collapsed="false">
      <c r="A19" s="11" t="s">
        <v>560</v>
      </c>
      <c r="B19" s="11" t="s">
        <v>561</v>
      </c>
      <c r="C19" s="11"/>
      <c r="D19" s="11"/>
      <c r="E19" s="11" t="s">
        <v>388</v>
      </c>
    </row>
    <row r="20" customFormat="false" ht="15" hidden="false" customHeight="false" outlineLevel="0" collapsed="false">
      <c r="A20" s="4" t="s">
        <v>562</v>
      </c>
      <c r="B20" s="4" t="s">
        <v>563</v>
      </c>
      <c r="E20" s="4" t="s">
        <v>564</v>
      </c>
    </row>
    <row r="21" customFormat="false" ht="15" hidden="false" customHeight="false" outlineLevel="0" collapsed="false">
      <c r="A21" s="4" t="s">
        <v>565</v>
      </c>
      <c r="B21" s="4" t="s">
        <v>566</v>
      </c>
      <c r="E21" s="4" t="s">
        <v>564</v>
      </c>
    </row>
    <row r="22" customFormat="false" ht="15" hidden="false" customHeight="false" outlineLevel="0" collapsed="false">
      <c r="A22" s="4" t="s">
        <v>567</v>
      </c>
      <c r="B22" s="4" t="s">
        <v>568</v>
      </c>
      <c r="E22" s="4" t="s">
        <v>564</v>
      </c>
    </row>
    <row r="23" customFormat="false" ht="23.85" hidden="false" customHeight="false" outlineLevel="0" collapsed="false">
      <c r="A23" s="4" t="s">
        <v>569</v>
      </c>
      <c r="B23" s="4" t="s">
        <v>570</v>
      </c>
      <c r="E23" s="4" t="s">
        <v>564</v>
      </c>
    </row>
    <row r="24" customFormat="false" ht="15" hidden="false" customHeight="false" outlineLevel="0" collapsed="false">
      <c r="A24" s="4" t="s">
        <v>535</v>
      </c>
      <c r="B24" s="4" t="s">
        <v>571</v>
      </c>
      <c r="E24" s="4" t="s">
        <v>564</v>
      </c>
    </row>
    <row r="25" customFormat="false" ht="23.85" hidden="false" customHeight="false" outlineLevel="0" collapsed="false">
      <c r="A25" s="4" t="s">
        <v>572</v>
      </c>
      <c r="B25" s="4" t="s">
        <v>573</v>
      </c>
      <c r="E25" s="4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574</v>
      </c>
    </row>
    <row r="2" customFormat="false" ht="15" hidden="false" customHeight="false" outlineLevel="0" collapsed="false">
      <c r="A2" s="2" t="s">
        <v>575</v>
      </c>
    </row>
    <row r="4" customFormat="false" ht="15" hidden="false" customHeight="false" outlineLevel="0" collapsed="false">
      <c r="A4" s="11" t="s">
        <v>538</v>
      </c>
      <c r="B4" s="11" t="s">
        <v>455</v>
      </c>
      <c r="C4" s="11" t="s">
        <v>451</v>
      </c>
    </row>
    <row r="5" customFormat="false" ht="15" hidden="false" customHeight="false" outlineLevel="0" collapsed="false">
      <c r="A5" s="4" t="s">
        <v>576</v>
      </c>
      <c r="B5" s="36" t="n">
        <v>200</v>
      </c>
      <c r="C5" s="4" t="s">
        <v>577</v>
      </c>
    </row>
    <row r="6" customFormat="false" ht="15" hidden="false" customHeight="false" outlineLevel="0" collapsed="false">
      <c r="A6" s="4" t="s">
        <v>578</v>
      </c>
      <c r="B6" s="18" t="n">
        <v>150</v>
      </c>
      <c r="C6" s="4" t="s">
        <v>506</v>
      </c>
    </row>
    <row r="7" customFormat="false" ht="15" hidden="false" customHeight="false" outlineLevel="0" collapsed="false">
      <c r="A7" s="4" t="s">
        <v>579</v>
      </c>
      <c r="B7" s="18" t="n">
        <v>300</v>
      </c>
      <c r="C7" s="4" t="s">
        <v>506</v>
      </c>
    </row>
    <row r="8" customFormat="false" ht="15" hidden="false" customHeight="false" outlineLevel="0" collapsed="false">
      <c r="A8" s="4" t="s">
        <v>580</v>
      </c>
      <c r="B8" s="24" t="n">
        <v>0.11</v>
      </c>
      <c r="C8" s="4" t="s">
        <v>581</v>
      </c>
    </row>
    <row r="9" customFormat="false" ht="15" hidden="false" customHeight="false" outlineLevel="0" collapsed="false">
      <c r="A9" s="4" t="s">
        <v>582</v>
      </c>
      <c r="B9" s="37" t="n">
        <v>1</v>
      </c>
      <c r="C9" s="4" t="s">
        <v>506</v>
      </c>
    </row>
    <row r="10" customFormat="false" ht="15" hidden="false" customHeight="false" outlineLevel="0" collapsed="false">
      <c r="A10" s="4" t="s">
        <v>528</v>
      </c>
      <c r="B10" s="32" t="n">
        <f aca="false">Funnel_Model!C27</f>
        <v>2500</v>
      </c>
      <c r="C10" s="4" t="s">
        <v>583</v>
      </c>
    </row>
    <row r="11" customFormat="false" ht="15" hidden="false" customHeight="false" outlineLevel="0" collapsed="false">
      <c r="A11" s="4" t="s">
        <v>584</v>
      </c>
      <c r="B11" s="29" t="n">
        <f aca="false">B10*B8/365*B9</f>
        <v>0.753424657534247</v>
      </c>
      <c r="C11" s="4" t="s">
        <v>585</v>
      </c>
    </row>
    <row r="12" customFormat="false" ht="15" hidden="false" customHeight="false" outlineLevel="0" collapsed="false">
      <c r="A12" s="4" t="s">
        <v>586</v>
      </c>
      <c r="B12" s="37" t="n">
        <v>0</v>
      </c>
      <c r="C12" s="4" t="s">
        <v>587</v>
      </c>
    </row>
    <row r="13" customFormat="false" ht="15" hidden="false" customHeight="false" outlineLevel="0" collapsed="false">
      <c r="A13" s="4" t="s">
        <v>588</v>
      </c>
      <c r="B13" s="36" t="n">
        <v>5000000</v>
      </c>
      <c r="C13" s="4" t="s">
        <v>589</v>
      </c>
    </row>
    <row r="14" customFormat="false" ht="15" hidden="false" customHeight="false" outlineLevel="0" collapsed="false">
      <c r="A14" s="4" t="s">
        <v>590</v>
      </c>
      <c r="B14" s="36" t="n">
        <v>50000000</v>
      </c>
      <c r="C14" s="4" t="s">
        <v>591</v>
      </c>
    </row>
    <row r="15" customFormat="false" ht="15" hidden="false" customHeight="false" outlineLevel="0" collapsed="false">
      <c r="A15" s="4" t="s">
        <v>507</v>
      </c>
      <c r="B15" s="32" t="n">
        <f aca="false">Funnel_Model!C11</f>
        <v>1196190.47619048</v>
      </c>
      <c r="C15" s="4" t="s">
        <v>583</v>
      </c>
    </row>
    <row r="16" customFormat="false" ht="15" hidden="false" customHeight="false" outlineLevel="0" collapsed="false">
      <c r="A16" s="4" t="s">
        <v>521</v>
      </c>
      <c r="B16" s="32" t="n">
        <f aca="false">Funnel_Model!C22</f>
        <v>77799.1071428572</v>
      </c>
      <c r="C16" s="4" t="s">
        <v>583</v>
      </c>
    </row>
    <row r="17" customFormat="false" ht="15" hidden="false" customHeight="false" outlineLevel="0" collapsed="false">
      <c r="A17" s="4" t="s">
        <v>592</v>
      </c>
      <c r="B17" s="32" t="n">
        <f aca="false">Funnel_Model!C26*12</f>
        <v>12522544.2857143</v>
      </c>
      <c r="C17" s="4" t="s">
        <v>593</v>
      </c>
    </row>
    <row r="18" customFormat="false" ht="15" hidden="false" customHeight="false" outlineLevel="0" collapsed="false">
      <c r="A18" s="4" t="s">
        <v>594</v>
      </c>
      <c r="B18" s="32" t="n">
        <f aca="false">Funnel_Model!C29*12</f>
        <v>26610406607.1429</v>
      </c>
      <c r="C18" s="4" t="s">
        <v>595</v>
      </c>
    </row>
    <row r="19" customFormat="false" ht="15" hidden="false" customHeight="false" outlineLevel="0" collapsed="false">
      <c r="A19" s="4" t="s">
        <v>596</v>
      </c>
      <c r="B19" s="34" t="n">
        <f aca="false">B5*B15</f>
        <v>239238095.238095</v>
      </c>
      <c r="C19" s="4" t="s">
        <v>597</v>
      </c>
    </row>
    <row r="20" customFormat="false" ht="15" hidden="false" customHeight="false" outlineLevel="0" collapsed="false">
      <c r="A20" s="4" t="s">
        <v>598</v>
      </c>
      <c r="B20" s="34" t="n">
        <f aca="false">B12*B15</f>
        <v>0</v>
      </c>
      <c r="C20" s="4"/>
    </row>
    <row r="21" customFormat="false" ht="15" hidden="false" customHeight="false" outlineLevel="0" collapsed="false">
      <c r="A21" s="4" t="s">
        <v>599</v>
      </c>
      <c r="B21" s="34" t="n">
        <f aca="false">B11*B17</f>
        <v>9434793.63992173</v>
      </c>
      <c r="C21" s="4" t="s">
        <v>600</v>
      </c>
    </row>
    <row r="22" customFormat="false" ht="15" hidden="false" customHeight="false" outlineLevel="0" collapsed="false">
      <c r="A22" s="3" t="s">
        <v>601</v>
      </c>
      <c r="B22" s="22" t="n">
        <f aca="false">B19+B20+B21</f>
        <v>248672888.878017</v>
      </c>
      <c r="C22" s="4"/>
    </row>
    <row r="23" customFormat="false" ht="15" hidden="false" customHeight="false" outlineLevel="0" collapsed="false">
      <c r="A23" s="3" t="s">
        <v>602</v>
      </c>
      <c r="B23" s="22" t="n">
        <f aca="false">B22+B13+B14</f>
        <v>303672888.878017</v>
      </c>
      <c r="C23" s="4"/>
    </row>
    <row r="24" customFormat="false" ht="15" hidden="false" customHeight="false" outlineLevel="0" collapsed="false">
      <c r="A24" s="3" t="s">
        <v>603</v>
      </c>
      <c r="B24" s="22" t="n">
        <f aca="false">B22/B16</f>
        <v>3196.34630795179</v>
      </c>
      <c r="C24" s="4"/>
    </row>
    <row r="25" customFormat="false" ht="15" hidden="false" customHeight="false" outlineLevel="0" collapsed="false">
      <c r="A25" s="3" t="s">
        <v>604</v>
      </c>
      <c r="B25" s="22" t="n">
        <f aca="false">B23/B16</f>
        <v>3903.29529515555</v>
      </c>
      <c r="C25" s="4"/>
    </row>
    <row r="26" customFormat="false" ht="15" hidden="false" customHeight="false" outlineLevel="0" collapsed="false">
      <c r="A26" s="3" t="s">
        <v>605</v>
      </c>
      <c r="B26" s="38" t="n">
        <f aca="false">B22/B18</f>
        <v>0.00934494885964152</v>
      </c>
      <c r="C26" s="4" t="s">
        <v>606</v>
      </c>
    </row>
    <row r="27" customFormat="false" ht="15" hidden="false" customHeight="false" outlineLevel="0" collapsed="false">
      <c r="A27" s="3" t="s">
        <v>607</v>
      </c>
      <c r="B27" s="38" t="n">
        <f aca="false">B23/B18</f>
        <v>0.0114118094233293</v>
      </c>
      <c r="C27" s="4"/>
    </row>
    <row r="28" customFormat="false" ht="15" hidden="false" customHeight="false" outlineLevel="0" collapsed="false">
      <c r="A28" s="3" t="s">
        <v>608</v>
      </c>
      <c r="B28" s="39" t="n">
        <f aca="false">B26*100</f>
        <v>0.934494885964152</v>
      </c>
      <c r="C28" s="4"/>
    </row>
    <row r="29" customFormat="false" ht="15" hidden="false" customHeight="false" outlineLevel="0" collapsed="false">
      <c r="A29" s="3" t="s">
        <v>609</v>
      </c>
      <c r="B29" s="39" t="n">
        <f aca="false">B27*100</f>
        <v>1.14118094233293</v>
      </c>
      <c r="C29" s="4"/>
    </row>
    <row r="30" customFormat="false" ht="23.85" hidden="false" customHeight="false" outlineLevel="0" collapsed="false">
      <c r="A30" s="3" t="s">
        <v>610</v>
      </c>
      <c r="B30" s="38" t="n">
        <f aca="false">B23/(B18*0.5)</f>
        <v>0.0228236188466586</v>
      </c>
      <c r="C30" s="4" t="s">
        <v>611</v>
      </c>
    </row>
    <row r="31" customFormat="false" ht="23.85" hidden="false" customHeight="false" outlineLevel="0" collapsed="false">
      <c r="A31" s="3" t="s">
        <v>612</v>
      </c>
      <c r="B31" s="22" t="n">
        <f aca="false">B5*1000/Funnel_Model!C32</f>
        <v>3075.07507507508</v>
      </c>
      <c r="C31" s="4"/>
    </row>
    <row r="32" customFormat="false" ht="15" hidden="false" customHeight="false" outlineLevel="0" collapsed="false">
      <c r="A32" s="3" t="s">
        <v>613</v>
      </c>
      <c r="B32" s="22" t="n">
        <f aca="false">(B6*B15+B20+B21)/B16</f>
        <v>2427.57753918302</v>
      </c>
      <c r="C32" s="4"/>
    </row>
    <row r="33" customFormat="false" ht="15" hidden="false" customHeight="false" outlineLevel="0" collapsed="false">
      <c r="A33" s="3" t="s">
        <v>614</v>
      </c>
      <c r="B33" s="22" t="n">
        <f aca="false">(B7*B15+B20+B21)/B16</f>
        <v>4733.88384548933</v>
      </c>
      <c r="C33" s="4"/>
    </row>
    <row r="35" customFormat="false" ht="15" hidden="false" customHeight="false" outlineLevel="0" collapsed="false">
      <c r="A35" s="3" t="s">
        <v>615</v>
      </c>
    </row>
    <row r="36" customFormat="false" ht="15" hidden="false" customHeight="true" outlineLevel="0" collapsed="false">
      <c r="A36" s="4" t="s">
        <v>616</v>
      </c>
      <c r="B36" s="4"/>
      <c r="C36" s="4"/>
    </row>
    <row r="37" customFormat="false" ht="15" hidden="false" customHeight="true" outlineLevel="0" collapsed="false">
      <c r="A37" s="4" t="s">
        <v>617</v>
      </c>
      <c r="B37" s="4"/>
      <c r="C37" s="4"/>
    </row>
    <row r="38" customFormat="false" ht="15" hidden="false" customHeight="true" outlineLevel="0" collapsed="false">
      <c r="A38" s="4" t="s">
        <v>618</v>
      </c>
      <c r="B38" s="4"/>
      <c r="C38" s="4"/>
    </row>
    <row r="39" customFormat="false" ht="15" hidden="false" customHeight="true" outlineLevel="0" collapsed="false">
      <c r="A39" s="4" t="s">
        <v>619</v>
      </c>
      <c r="B39" s="4"/>
      <c r="C39" s="4"/>
    </row>
  </sheetData>
  <mergeCells count="4">
    <mergeCell ref="A36:C36"/>
    <mergeCell ref="A37:C37"/>
    <mergeCell ref="A38:C38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  <col collapsed="false" customWidth="true" hidden="false" outlineLevel="0" max="7" min="5" style="0" width="16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620</v>
      </c>
    </row>
    <row r="2" customFormat="false" ht="15" hidden="false" customHeight="false" outlineLevel="0" collapsed="false">
      <c r="A2" s="2" t="s">
        <v>621</v>
      </c>
    </row>
    <row r="3" customFormat="false" ht="23.85" hidden="false" customHeight="false" outlineLevel="0" collapsed="false">
      <c r="A3" s="3" t="s">
        <v>622</v>
      </c>
      <c r="E3" s="27" t="n">
        <v>0.3</v>
      </c>
    </row>
    <row r="4" customFormat="false" ht="23.85" hidden="false" customHeight="false" outlineLevel="0" collapsed="false">
      <c r="A4" s="11" t="s">
        <v>623</v>
      </c>
      <c r="B4" s="11" t="s">
        <v>458</v>
      </c>
      <c r="C4" s="11" t="s">
        <v>624</v>
      </c>
      <c r="D4" s="11" t="s">
        <v>625</v>
      </c>
      <c r="E4" s="11" t="s">
        <v>626</v>
      </c>
      <c r="F4" s="11" t="s">
        <v>627</v>
      </c>
      <c r="G4" s="11" t="s">
        <v>521</v>
      </c>
      <c r="H4" s="11" t="s">
        <v>628</v>
      </c>
      <c r="I4" s="11" t="s">
        <v>629</v>
      </c>
    </row>
    <row r="5" customFormat="false" ht="15" hidden="false" customHeight="false" outlineLevel="0" collapsed="false">
      <c r="A5" s="3" t="s">
        <v>630</v>
      </c>
      <c r="B5" s="21" t="n">
        <f aca="false">Funnel_Model!$C$7</f>
        <v>0.547619047619048</v>
      </c>
      <c r="C5" s="21" t="n">
        <f aca="false">Funnel_Model!$C$17</f>
        <v>0.23125</v>
      </c>
      <c r="D5" s="40" t="n">
        <f aca="false">Funnel_Model!$C$19</f>
        <v>0.5</v>
      </c>
      <c r="E5" s="24" t="n">
        <v>1</v>
      </c>
      <c r="F5" s="34" t="n">
        <f aca="false">Funnel_Model!$C$5*Funnel_Model!$C$6*B5*Funnel_Model!$C$8</f>
        <v>2990476.19047619</v>
      </c>
      <c r="G5" s="34" t="n">
        <f aca="false">F5*Funnel_Model!$C$10*C5*D5*Funnel_Model!$C$21</f>
        <v>77799.1071428572</v>
      </c>
      <c r="H5" s="34" t="n">
        <f aca="false">F5*Funnel_Model!$C$10*C5*D5*Funnel_Model!$C$24*Funnel_Model!$C$25*Funnel_Model!$C$27*(1-Funnel_Model!$C$28)*E5*12/10^7</f>
        <v>2661.04066071429</v>
      </c>
      <c r="I5" s="14" t="n">
        <f aca="false">H5/$H$5</f>
        <v>1</v>
      </c>
    </row>
    <row r="6" customFormat="false" ht="15" hidden="false" customHeight="false" outlineLevel="0" collapsed="false">
      <c r="A6" s="3" t="s">
        <v>631</v>
      </c>
      <c r="B6" s="21" t="n">
        <f aca="false">Funnel_Model!$C$7/2</f>
        <v>0.273809523809524</v>
      </c>
      <c r="C6" s="21" t="n">
        <f aca="false">Funnel_Model!$C$17</f>
        <v>0.23125</v>
      </c>
      <c r="D6" s="40" t="n">
        <f aca="false">Funnel_Model!$C$19</f>
        <v>0.5</v>
      </c>
      <c r="E6" s="24" t="n">
        <v>1</v>
      </c>
      <c r="F6" s="34" t="n">
        <f aca="false">Funnel_Model!$C$5*Funnel_Model!$C$6*B6*Funnel_Model!$C$8</f>
        <v>1495238.0952381</v>
      </c>
      <c r="G6" s="34" t="n">
        <f aca="false">F6*Funnel_Model!$C$10*C6*D6*Funnel_Model!$C$21</f>
        <v>38899.5535714286</v>
      </c>
      <c r="H6" s="34" t="n">
        <f aca="false">F6*Funnel_Model!$C$10*C6*D6*Funnel_Model!$C$24*Funnel_Model!$C$25*Funnel_Model!$C$27*(1-Funnel_Model!$C$28)*E6*12/10^7</f>
        <v>1330.52033035714</v>
      </c>
      <c r="I6" s="14" t="n">
        <f aca="false">H6/$H$5</f>
        <v>0.5</v>
      </c>
    </row>
    <row r="7" customFormat="false" ht="15" hidden="false" customHeight="false" outlineLevel="0" collapsed="false">
      <c r="A7" s="3" t="s">
        <v>632</v>
      </c>
      <c r="B7" s="21" t="n">
        <f aca="false">Funnel_Model!$C$7</f>
        <v>0.547619047619048</v>
      </c>
      <c r="C7" s="21" t="n">
        <f aca="false">Funnel_Model!$C$17/2</f>
        <v>0.115625</v>
      </c>
      <c r="D7" s="40" t="n">
        <f aca="false">Funnel_Model!$C$19</f>
        <v>0.5</v>
      </c>
      <c r="E7" s="24" t="n">
        <v>1</v>
      </c>
      <c r="F7" s="34" t="n">
        <f aca="false">Funnel_Model!$C$5*Funnel_Model!$C$6*B7*Funnel_Model!$C$8</f>
        <v>2990476.19047619</v>
      </c>
      <c r="G7" s="34" t="n">
        <f aca="false">F7*Funnel_Model!$C$10*C7*D7*Funnel_Model!$C$21</f>
        <v>38899.5535714286</v>
      </c>
      <c r="H7" s="34" t="n">
        <f aca="false">F7*Funnel_Model!$C$10*C7*D7*Funnel_Model!$C$24*Funnel_Model!$C$25*Funnel_Model!$C$27*(1-Funnel_Model!$C$28)*E7*12/10^7</f>
        <v>1330.52033035714</v>
      </c>
      <c r="I7" s="14" t="n">
        <f aca="false">H7/$H$5</f>
        <v>0.5</v>
      </c>
    </row>
    <row r="8" customFormat="false" ht="15" hidden="false" customHeight="false" outlineLevel="0" collapsed="false">
      <c r="A8" s="3" t="s">
        <v>633</v>
      </c>
      <c r="B8" s="21" t="n">
        <f aca="false">Funnel_Model!$C$7</f>
        <v>0.547619047619048</v>
      </c>
      <c r="C8" s="21" t="n">
        <f aca="false">Funnel_Model!$C$17</f>
        <v>0.23125</v>
      </c>
      <c r="D8" s="40" t="n">
        <f aca="false">Funnel_Model!$C$19/2</f>
        <v>0.25</v>
      </c>
      <c r="E8" s="24" t="n">
        <v>1</v>
      </c>
      <c r="F8" s="34" t="n">
        <f aca="false">Funnel_Model!$C$5*Funnel_Model!$C$6*B8*Funnel_Model!$C$8</f>
        <v>2990476.19047619</v>
      </c>
      <c r="G8" s="34" t="n">
        <f aca="false">F8*Funnel_Model!$C$10*C8*D8*Funnel_Model!$C$21</f>
        <v>38899.5535714286</v>
      </c>
      <c r="H8" s="34" t="n">
        <f aca="false">F8*Funnel_Model!$C$10*C8*D8*Funnel_Model!$C$24*Funnel_Model!$C$25*Funnel_Model!$C$27*(1-Funnel_Model!$C$28)*E8*12/10^7</f>
        <v>1330.52033035714</v>
      </c>
      <c r="I8" s="14" t="n">
        <f aca="false">H8/$H$5</f>
        <v>0.5</v>
      </c>
    </row>
    <row r="9" customFormat="false" ht="23.85" hidden="false" customHeight="false" outlineLevel="0" collapsed="false">
      <c r="A9" s="3" t="s">
        <v>634</v>
      </c>
      <c r="B9" s="21" t="n">
        <f aca="false">Funnel_Model!$C$7</f>
        <v>0.547619047619048</v>
      </c>
      <c r="C9" s="21" t="n">
        <f aca="false">Funnel_Model!$C$17</f>
        <v>0.23125</v>
      </c>
      <c r="D9" s="40" t="n">
        <f aca="false">Funnel_Model!$C$19</f>
        <v>0.5</v>
      </c>
      <c r="E9" s="14" t="n">
        <f aca="false">1-$E$3</f>
        <v>0.7</v>
      </c>
      <c r="F9" s="34" t="n">
        <f aca="false">Funnel_Model!$C$5*Funnel_Model!$C$6*B9*Funnel_Model!$C$8</f>
        <v>2990476.19047619</v>
      </c>
      <c r="G9" s="34" t="n">
        <f aca="false">F9*Funnel_Model!$C$10*C9*D9*Funnel_Model!$C$21</f>
        <v>77799.1071428572</v>
      </c>
      <c r="H9" s="34" t="n">
        <f aca="false">F9*Funnel_Model!$C$10*C9*D9*Funnel_Model!$C$24*Funnel_Model!$C$25*Funnel_Model!$C$27*(1-Funnel_Model!$C$28)*E9*12/10^7</f>
        <v>1862.7284625</v>
      </c>
      <c r="I9" s="14" t="n">
        <f aca="false">H9/$H$5</f>
        <v>0.7</v>
      </c>
    </row>
    <row r="10" customFormat="false" ht="23.85" hidden="false" customHeight="false" outlineLevel="0" collapsed="false">
      <c r="A10" s="3" t="s">
        <v>635</v>
      </c>
      <c r="B10" s="21" t="n">
        <f aca="false">Funnel_Model!$C$7</f>
        <v>0.547619047619048</v>
      </c>
      <c r="C10" s="21" t="n">
        <f aca="false">Funnel_Model!$C$17</f>
        <v>0.23125</v>
      </c>
      <c r="D10" s="40" t="n">
        <f aca="false">Funnel_Model!$C$19</f>
        <v>0.5</v>
      </c>
      <c r="E10" s="24" t="n">
        <v>0.5</v>
      </c>
      <c r="F10" s="34" t="n">
        <f aca="false">Funnel_Model!$C$5*Funnel_Model!$C$6*B10*Funnel_Model!$C$8</f>
        <v>2990476.19047619</v>
      </c>
      <c r="G10" s="34" t="n">
        <f aca="false">F10*Funnel_Model!$C$10*C10*D10*Funnel_Model!$C$21</f>
        <v>77799.1071428572</v>
      </c>
      <c r="H10" s="34" t="n">
        <f aca="false">F10*Funnel_Model!$C$10*C10*D10*Funnel_Model!$C$24*Funnel_Model!$C$25*Funnel_Model!$C$27*(1-Funnel_Model!$C$28)*E10*12/10^7</f>
        <v>1330.52033035714</v>
      </c>
      <c r="I10" s="14" t="n">
        <f aca="false">H10/$H$5</f>
        <v>0.5</v>
      </c>
    </row>
    <row r="12" customFormat="false" ht="39.75" hidden="false" customHeight="true" outlineLevel="0" collapsed="false">
      <c r="A12" s="41" t="s">
        <v>636</v>
      </c>
      <c r="B12" s="41"/>
      <c r="C12" s="41"/>
      <c r="D12" s="41"/>
      <c r="E12" s="41"/>
      <c r="F12" s="41"/>
      <c r="G12" s="41"/>
      <c r="H12" s="41"/>
      <c r="I12" s="41"/>
    </row>
  </sheetData>
  <mergeCells count="1"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637</v>
      </c>
    </row>
    <row r="4" customFormat="false" ht="15" hidden="false" customHeight="false" outlineLevel="0" collapsed="false">
      <c r="A4" s="11" t="s">
        <v>638</v>
      </c>
      <c r="B4" s="11" t="s">
        <v>639</v>
      </c>
    </row>
    <row r="5" customFormat="false" ht="35.05" hidden="false" customHeight="false" outlineLevel="0" collapsed="false">
      <c r="A5" s="4" t="s">
        <v>640</v>
      </c>
      <c r="B5" s="4" t="s">
        <v>641</v>
      </c>
    </row>
    <row r="6" customFormat="false" ht="23.85" hidden="false" customHeight="false" outlineLevel="0" collapsed="false">
      <c r="A6" s="4" t="s">
        <v>642</v>
      </c>
      <c r="B6" s="4" t="s">
        <v>643</v>
      </c>
    </row>
    <row r="7" customFormat="false" ht="15" hidden="false" customHeight="false" outlineLevel="0" collapsed="false">
      <c r="A7" s="4" t="s">
        <v>644</v>
      </c>
      <c r="B7" s="4" t="s">
        <v>645</v>
      </c>
    </row>
    <row r="8" customFormat="false" ht="23.85" hidden="false" customHeight="false" outlineLevel="0" collapsed="false">
      <c r="A8" s="4" t="s">
        <v>646</v>
      </c>
      <c r="B8" s="4" t="s">
        <v>647</v>
      </c>
    </row>
    <row r="9" customFormat="false" ht="15" hidden="false" customHeight="false" outlineLevel="0" collapsed="false">
      <c r="A9" s="4" t="s">
        <v>648</v>
      </c>
      <c r="B9" s="4" t="s">
        <v>649</v>
      </c>
    </row>
    <row r="10" customFormat="false" ht="23.85" hidden="false" customHeight="false" outlineLevel="0" collapsed="false">
      <c r="A10" s="4" t="s">
        <v>650</v>
      </c>
      <c r="B10" s="4" t="s">
        <v>651</v>
      </c>
    </row>
    <row r="11" customFormat="false" ht="15" hidden="false" customHeight="false" outlineLevel="0" collapsed="false">
      <c r="A11" s="4" t="s">
        <v>652</v>
      </c>
      <c r="B11" s="4" t="s">
        <v>653</v>
      </c>
    </row>
    <row r="12" customFormat="false" ht="15" hidden="false" customHeight="false" outlineLevel="0" collapsed="false">
      <c r="A12" s="4" t="s">
        <v>654</v>
      </c>
      <c r="B12" s="4" t="s">
        <v>655</v>
      </c>
    </row>
    <row r="13" customFormat="false" ht="15" hidden="false" customHeight="false" outlineLevel="0" collapsed="false">
      <c r="A13" s="4" t="s">
        <v>656</v>
      </c>
      <c r="B13" s="4" t="s">
        <v>657</v>
      </c>
    </row>
    <row r="14" customFormat="false" ht="15" hidden="false" customHeight="false" outlineLevel="0" collapsed="false">
      <c r="A14" s="4" t="s">
        <v>658</v>
      </c>
      <c r="B14" s="4" t="s">
        <v>659</v>
      </c>
    </row>
    <row r="15" customFormat="false" ht="15" hidden="false" customHeight="false" outlineLevel="0" collapsed="false">
      <c r="A15" s="4" t="s">
        <v>660</v>
      </c>
      <c r="B15" s="4" t="s">
        <v>661</v>
      </c>
    </row>
    <row r="16" customFormat="false" ht="23.85" hidden="false" customHeight="false" outlineLevel="0" collapsed="false">
      <c r="A16" s="4" t="s">
        <v>662</v>
      </c>
      <c r="B16" s="4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664</v>
      </c>
    </row>
    <row r="4" customFormat="false" ht="15" hidden="false" customHeight="false" outlineLevel="0" collapsed="false">
      <c r="A4" s="11" t="s">
        <v>665</v>
      </c>
      <c r="B4" s="11" t="s">
        <v>666</v>
      </c>
      <c r="C4" s="11" t="s">
        <v>667</v>
      </c>
      <c r="D4" s="11" t="s">
        <v>108</v>
      </c>
      <c r="E4" s="11" t="s">
        <v>668</v>
      </c>
    </row>
    <row r="5" customFormat="false" ht="35.05" hidden="false" customHeight="false" outlineLevel="0" collapsed="false">
      <c r="A5" s="4" t="s">
        <v>669</v>
      </c>
      <c r="B5" s="4" t="s">
        <v>670</v>
      </c>
      <c r="C5" s="4" t="s">
        <v>671</v>
      </c>
      <c r="D5" s="4" t="s">
        <v>672</v>
      </c>
      <c r="E5" s="4" t="s">
        <v>673</v>
      </c>
    </row>
    <row r="6" customFormat="false" ht="23.85" hidden="false" customHeight="false" outlineLevel="0" collapsed="false">
      <c r="A6" s="4" t="s">
        <v>674</v>
      </c>
      <c r="B6" s="4" t="s">
        <v>675</v>
      </c>
      <c r="C6" s="4" t="s">
        <v>676</v>
      </c>
      <c r="D6" s="4" t="s">
        <v>677</v>
      </c>
      <c r="E6" s="4" t="s">
        <v>678</v>
      </c>
    </row>
    <row r="7" customFormat="false" ht="23.85" hidden="false" customHeight="false" outlineLevel="0" collapsed="false">
      <c r="A7" s="4" t="s">
        <v>679</v>
      </c>
      <c r="B7" s="4" t="s">
        <v>680</v>
      </c>
      <c r="C7" s="4" t="s">
        <v>681</v>
      </c>
      <c r="D7" s="4" t="s">
        <v>682</v>
      </c>
      <c r="E7" s="4" t="s">
        <v>678</v>
      </c>
    </row>
    <row r="8" customFormat="false" ht="15" hidden="false" customHeight="false" outlineLevel="0" collapsed="false">
      <c r="A8" s="4" t="s">
        <v>683</v>
      </c>
      <c r="B8" s="4" t="s">
        <v>684</v>
      </c>
      <c r="C8" s="4" t="s">
        <v>685</v>
      </c>
      <c r="D8" s="4" t="s">
        <v>686</v>
      </c>
      <c r="E8" s="4" t="s">
        <v>687</v>
      </c>
    </row>
    <row r="9" customFormat="false" ht="23.85" hidden="false" customHeight="false" outlineLevel="0" collapsed="false">
      <c r="A9" s="4" t="s">
        <v>688</v>
      </c>
      <c r="B9" s="4" t="s">
        <v>689</v>
      </c>
      <c r="C9" s="4" t="s">
        <v>690</v>
      </c>
      <c r="D9" s="4" t="s">
        <v>691</v>
      </c>
      <c r="E9" s="4" t="s">
        <v>692</v>
      </c>
    </row>
    <row r="10" customFormat="false" ht="15" hidden="false" customHeight="false" outlineLevel="0" collapsed="false">
      <c r="A10" s="4" t="s">
        <v>693</v>
      </c>
      <c r="B10" s="4" t="s">
        <v>694</v>
      </c>
      <c r="C10" s="4" t="s">
        <v>695</v>
      </c>
      <c r="D10" s="4" t="s">
        <v>696</v>
      </c>
      <c r="E10" s="4" t="s">
        <v>673</v>
      </c>
    </row>
    <row r="11" customFormat="false" ht="23.85" hidden="false" customHeight="false" outlineLevel="0" collapsed="false">
      <c r="A11" s="4" t="s">
        <v>697</v>
      </c>
      <c r="B11" s="4" t="s">
        <v>698</v>
      </c>
      <c r="C11" s="4" t="s">
        <v>699</v>
      </c>
      <c r="D11" s="4" t="s">
        <v>700</v>
      </c>
      <c r="E11" s="4" t="s">
        <v>687</v>
      </c>
    </row>
    <row r="12" customFormat="false" ht="23.85" hidden="false" customHeight="false" outlineLevel="0" collapsed="false">
      <c r="A12" s="4" t="s">
        <v>701</v>
      </c>
      <c r="B12" s="4" t="s">
        <v>702</v>
      </c>
      <c r="C12" s="4" t="s">
        <v>703</v>
      </c>
      <c r="D12" s="4" t="s">
        <v>704</v>
      </c>
      <c r="E12" s="4" t="s">
        <v>673</v>
      </c>
    </row>
    <row r="13" customFormat="false" ht="23.85" hidden="false" customHeight="false" outlineLevel="0" collapsed="false">
      <c r="A13" s="4" t="s">
        <v>705</v>
      </c>
      <c r="B13" s="4" t="s">
        <v>706</v>
      </c>
      <c r="C13" s="4" t="s">
        <v>707</v>
      </c>
      <c r="D13" s="4" t="s">
        <v>708</v>
      </c>
      <c r="E13" s="4" t="s">
        <v>673</v>
      </c>
    </row>
    <row r="16" customFormat="false" ht="15" hidden="false" customHeight="false" outlineLevel="0" collapsed="false">
      <c r="A16" s="11" t="s">
        <v>709</v>
      </c>
      <c r="B16" s="11" t="s">
        <v>710</v>
      </c>
      <c r="C16" s="11" t="s">
        <v>711</v>
      </c>
    </row>
    <row r="17" customFormat="false" ht="23.85" hidden="false" customHeight="false" outlineLevel="0" collapsed="false">
      <c r="A17" s="4" t="s">
        <v>712</v>
      </c>
      <c r="B17" s="4" t="s">
        <v>713</v>
      </c>
      <c r="C17" s="4" t="s">
        <v>714</v>
      </c>
    </row>
    <row r="18" customFormat="false" ht="23.85" hidden="false" customHeight="false" outlineLevel="0" collapsed="false">
      <c r="A18" s="4" t="s">
        <v>715</v>
      </c>
      <c r="B18" s="4" t="s">
        <v>716</v>
      </c>
      <c r="C18" s="4" t="s">
        <v>717</v>
      </c>
    </row>
    <row r="19" customFormat="false" ht="23.85" hidden="false" customHeight="false" outlineLevel="0" collapsed="false">
      <c r="A19" s="4" t="s">
        <v>718</v>
      </c>
      <c r="B19" s="4" t="s">
        <v>719</v>
      </c>
      <c r="C19" s="4" t="s">
        <v>720</v>
      </c>
    </row>
    <row r="20" customFormat="false" ht="23.85" hidden="false" customHeight="false" outlineLevel="0" collapsed="false">
      <c r="A20" s="4" t="s">
        <v>721</v>
      </c>
      <c r="B20" s="4" t="s">
        <v>722</v>
      </c>
      <c r="C20" s="4" t="s">
        <v>723</v>
      </c>
    </row>
    <row r="21" customFormat="false" ht="23.85" hidden="false" customHeight="false" outlineLevel="0" collapsed="false">
      <c r="A21" s="4" t="s">
        <v>724</v>
      </c>
      <c r="B21" s="4" t="s">
        <v>725</v>
      </c>
      <c r="C21" s="4" t="s">
        <v>726</v>
      </c>
    </row>
    <row r="22" customFormat="false" ht="23.85" hidden="false" customHeight="false" outlineLevel="0" collapsed="false">
      <c r="A22" s="4" t="s">
        <v>727</v>
      </c>
      <c r="B22" s="4" t="s">
        <v>728</v>
      </c>
      <c r="C22" s="4" t="s">
        <v>729</v>
      </c>
    </row>
    <row r="23" customFormat="false" ht="23.85" hidden="false" customHeight="false" outlineLevel="0" collapsed="false">
      <c r="A23" s="4" t="s">
        <v>730</v>
      </c>
      <c r="B23" s="4" t="s">
        <v>731</v>
      </c>
      <c r="C23" s="4" t="s">
        <v>732</v>
      </c>
    </row>
    <row r="24" customFormat="false" ht="23.85" hidden="false" customHeight="false" outlineLevel="0" collapsed="false">
      <c r="A24" s="4" t="s">
        <v>733</v>
      </c>
      <c r="B24" s="4" t="s">
        <v>734</v>
      </c>
      <c r="C24" s="4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4" min="3" style="0" width="6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736</v>
      </c>
    </row>
    <row r="4" customFormat="false" ht="15" hidden="false" customHeight="false" outlineLevel="0" collapsed="false">
      <c r="A4" s="11" t="s">
        <v>415</v>
      </c>
      <c r="B4" s="11" t="s">
        <v>737</v>
      </c>
      <c r="C4" s="11" t="s">
        <v>738</v>
      </c>
      <c r="D4" s="11" t="s">
        <v>739</v>
      </c>
      <c r="E4" s="11" t="s">
        <v>740</v>
      </c>
    </row>
    <row r="5" customFormat="false" ht="23.85" hidden="false" customHeight="false" outlineLevel="0" collapsed="false">
      <c r="A5" s="4" t="s">
        <v>741</v>
      </c>
      <c r="B5" s="4" t="s">
        <v>742</v>
      </c>
      <c r="C5" s="4" t="s">
        <v>743</v>
      </c>
      <c r="D5" s="4" t="s">
        <v>744</v>
      </c>
      <c r="E5" s="4" t="s">
        <v>745</v>
      </c>
    </row>
    <row r="6" customFormat="false" ht="23.85" hidden="false" customHeight="false" outlineLevel="0" collapsed="false">
      <c r="A6" s="4" t="s">
        <v>746</v>
      </c>
      <c r="B6" s="4" t="s">
        <v>747</v>
      </c>
      <c r="C6" s="4" t="s">
        <v>748</v>
      </c>
      <c r="D6" s="4" t="s">
        <v>749</v>
      </c>
      <c r="E6" s="4" t="s">
        <v>750</v>
      </c>
    </row>
    <row r="7" customFormat="false" ht="35.05" hidden="false" customHeight="false" outlineLevel="0" collapsed="false">
      <c r="A7" s="4" t="s">
        <v>751</v>
      </c>
      <c r="B7" s="4" t="s">
        <v>752</v>
      </c>
      <c r="C7" s="4" t="s">
        <v>753</v>
      </c>
      <c r="D7" s="4" t="s">
        <v>754</v>
      </c>
      <c r="E7" s="4" t="s">
        <v>755</v>
      </c>
    </row>
    <row r="8" customFormat="false" ht="23.85" hidden="false" customHeight="false" outlineLevel="0" collapsed="false">
      <c r="A8" s="4" t="s">
        <v>756</v>
      </c>
      <c r="B8" s="4" t="s">
        <v>757</v>
      </c>
      <c r="C8" s="4" t="s">
        <v>758</v>
      </c>
      <c r="D8" s="4" t="s">
        <v>759</v>
      </c>
      <c r="E8" s="4" t="s">
        <v>760</v>
      </c>
    </row>
    <row r="9" customFormat="false" ht="15" hidden="false" customHeight="false" outlineLevel="0" collapsed="false">
      <c r="A9" s="4" t="s">
        <v>761</v>
      </c>
      <c r="B9" s="4" t="s">
        <v>762</v>
      </c>
      <c r="C9" s="4" t="s">
        <v>763</v>
      </c>
      <c r="D9" s="4" t="s">
        <v>764</v>
      </c>
      <c r="E9" s="4" t="s">
        <v>760</v>
      </c>
    </row>
    <row r="10" customFormat="false" ht="35.05" hidden="false" customHeight="false" outlineLevel="0" collapsed="false">
      <c r="A10" s="4" t="s">
        <v>765</v>
      </c>
      <c r="B10" s="4" t="s">
        <v>766</v>
      </c>
      <c r="C10" s="4" t="s">
        <v>767</v>
      </c>
      <c r="D10" s="4" t="s">
        <v>768</v>
      </c>
      <c r="E10" s="4" t="s">
        <v>745</v>
      </c>
    </row>
    <row r="11" customFormat="false" ht="23.85" hidden="false" customHeight="false" outlineLevel="0" collapsed="false">
      <c r="A11" s="4" t="s">
        <v>769</v>
      </c>
      <c r="B11" s="4" t="s">
        <v>770</v>
      </c>
      <c r="C11" s="4" t="s">
        <v>771</v>
      </c>
      <c r="D11" s="4" t="s">
        <v>772</v>
      </c>
      <c r="E11" s="4" t="s">
        <v>745</v>
      </c>
    </row>
    <row r="12" customFormat="false" ht="23.85" hidden="false" customHeight="false" outlineLevel="0" collapsed="false">
      <c r="A12" s="4" t="s">
        <v>773</v>
      </c>
      <c r="B12" s="4" t="s">
        <v>774</v>
      </c>
      <c r="C12" s="4" t="s">
        <v>775</v>
      </c>
      <c r="D12" s="4" t="s">
        <v>776</v>
      </c>
      <c r="E12" s="4" t="s">
        <v>777</v>
      </c>
    </row>
    <row r="13" customFormat="false" ht="23.85" hidden="false" customHeight="false" outlineLevel="0" collapsed="false">
      <c r="A13" s="4" t="s">
        <v>778</v>
      </c>
      <c r="B13" s="4" t="s">
        <v>779</v>
      </c>
      <c r="C13" s="4" t="s">
        <v>780</v>
      </c>
      <c r="D13" s="4" t="s">
        <v>781</v>
      </c>
      <c r="E13" s="4" t="s">
        <v>782</v>
      </c>
    </row>
    <row r="14" customFormat="false" ht="35.05" hidden="false" customHeight="false" outlineLevel="0" collapsed="false">
      <c r="A14" s="4" t="s">
        <v>783</v>
      </c>
      <c r="B14" s="4" t="s">
        <v>784</v>
      </c>
      <c r="C14" s="4" t="s">
        <v>785</v>
      </c>
      <c r="D14" s="4" t="s">
        <v>786</v>
      </c>
      <c r="E14" s="4" t="s">
        <v>787</v>
      </c>
    </row>
    <row r="15" customFormat="false" ht="23.85" hidden="false" customHeight="false" outlineLevel="0" collapsed="false">
      <c r="A15" s="4" t="s">
        <v>788</v>
      </c>
      <c r="B15" s="4" t="s">
        <v>789</v>
      </c>
      <c r="C15" s="4" t="s">
        <v>790</v>
      </c>
      <c r="D15" s="4" t="s">
        <v>791</v>
      </c>
      <c r="E15" s="4" t="s">
        <v>787</v>
      </c>
    </row>
    <row r="16" customFormat="false" ht="23.85" hidden="false" customHeight="false" outlineLevel="0" collapsed="false">
      <c r="A16" s="4" t="s">
        <v>792</v>
      </c>
      <c r="B16" s="4" t="s">
        <v>793</v>
      </c>
      <c r="C16" s="4" t="s">
        <v>794</v>
      </c>
      <c r="D16" s="4" t="s">
        <v>795</v>
      </c>
      <c r="E16" s="4" t="s">
        <v>796</v>
      </c>
    </row>
    <row r="17" customFormat="false" ht="23.85" hidden="false" customHeight="false" outlineLevel="0" collapsed="false">
      <c r="A17" s="4" t="s">
        <v>797</v>
      </c>
      <c r="B17" s="4" t="s">
        <v>798</v>
      </c>
      <c r="C17" s="4" t="s">
        <v>799</v>
      </c>
      <c r="D17" s="4" t="s">
        <v>800</v>
      </c>
      <c r="E17" s="4" t="s">
        <v>745</v>
      </c>
    </row>
    <row r="18" customFormat="false" ht="23.85" hidden="false" customHeight="false" outlineLevel="0" collapsed="false">
      <c r="A18" s="4" t="s">
        <v>801</v>
      </c>
      <c r="B18" s="4" t="s">
        <v>802</v>
      </c>
      <c r="C18" s="4" t="s">
        <v>803</v>
      </c>
      <c r="D18" s="4" t="s">
        <v>804</v>
      </c>
      <c r="E18" s="4" t="s">
        <v>796</v>
      </c>
    </row>
    <row r="19" customFormat="false" ht="46.25" hidden="false" customHeight="false" outlineLevel="0" collapsed="false">
      <c r="A19" s="4" t="s">
        <v>805</v>
      </c>
      <c r="B19" s="4" t="s">
        <v>806</v>
      </c>
      <c r="C19" s="4" t="s">
        <v>807</v>
      </c>
      <c r="D19" s="4" t="s">
        <v>808</v>
      </c>
      <c r="E19" s="4" t="s">
        <v>796</v>
      </c>
    </row>
    <row r="20" customFormat="false" ht="15" hidden="false" customHeight="false" outlineLevel="0" collapsed="false">
      <c r="A20" s="4" t="s">
        <v>809</v>
      </c>
      <c r="B20" s="4" t="s">
        <v>810</v>
      </c>
      <c r="C20" s="4" t="s">
        <v>811</v>
      </c>
      <c r="D20" s="4" t="s">
        <v>812</v>
      </c>
      <c r="E20" s="4" t="s">
        <v>813</v>
      </c>
    </row>
    <row r="21" customFormat="false" ht="23.85" hidden="false" customHeight="false" outlineLevel="0" collapsed="false">
      <c r="A21" s="4" t="s">
        <v>814</v>
      </c>
      <c r="B21" s="4" t="s">
        <v>815</v>
      </c>
      <c r="C21" s="4" t="s">
        <v>811</v>
      </c>
      <c r="D21" s="4" t="s">
        <v>816</v>
      </c>
      <c r="E21" s="4" t="s">
        <v>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E6E"/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55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818</v>
      </c>
    </row>
    <row r="2" customFormat="false" ht="15" hidden="false" customHeight="false" outlineLevel="0" collapsed="false">
      <c r="A2" s="2" t="s">
        <v>819</v>
      </c>
    </row>
    <row r="4" customFormat="false" ht="15" hidden="false" customHeight="false" outlineLevel="0" collapsed="false">
      <c r="A4" s="11" t="s">
        <v>820</v>
      </c>
      <c r="B4" s="11" t="s">
        <v>821</v>
      </c>
      <c r="C4" s="11" t="s">
        <v>822</v>
      </c>
      <c r="D4" s="11" t="s">
        <v>823</v>
      </c>
    </row>
    <row r="5" customFormat="false" ht="23.85" hidden="false" customHeight="false" outlineLevel="0" collapsed="false">
      <c r="A5" s="4" t="s">
        <v>824</v>
      </c>
      <c r="B5" s="4" t="s">
        <v>825</v>
      </c>
      <c r="C5" s="4" t="s">
        <v>826</v>
      </c>
      <c r="D5" s="4" t="s">
        <v>827</v>
      </c>
    </row>
    <row r="6" customFormat="false" ht="35.05" hidden="false" customHeight="false" outlineLevel="0" collapsed="false">
      <c r="A6" s="4" t="s">
        <v>828</v>
      </c>
      <c r="B6" s="4" t="s">
        <v>829</v>
      </c>
      <c r="C6" s="4" t="s">
        <v>830</v>
      </c>
      <c r="D6" s="4" t="s">
        <v>831</v>
      </c>
    </row>
    <row r="7" customFormat="false" ht="35.05" hidden="false" customHeight="false" outlineLevel="0" collapsed="false">
      <c r="A7" s="4" t="s">
        <v>832</v>
      </c>
      <c r="B7" s="4" t="s">
        <v>833</v>
      </c>
      <c r="C7" s="4" t="s">
        <v>834</v>
      </c>
      <c r="D7" s="4" t="s">
        <v>835</v>
      </c>
    </row>
    <row r="8" customFormat="false" ht="23.85" hidden="false" customHeight="false" outlineLevel="0" collapsed="false">
      <c r="A8" s="4" t="s">
        <v>836</v>
      </c>
      <c r="B8" s="4" t="s">
        <v>837</v>
      </c>
      <c r="C8" s="4" t="s">
        <v>838</v>
      </c>
      <c r="D8" s="4" t="s">
        <v>839</v>
      </c>
    </row>
    <row r="9" customFormat="false" ht="15" hidden="false" customHeight="false" outlineLevel="0" collapsed="false">
      <c r="A9" s="4" t="s">
        <v>840</v>
      </c>
      <c r="B9" s="4" t="s">
        <v>841</v>
      </c>
      <c r="C9" s="4" t="s">
        <v>842</v>
      </c>
      <c r="D9" s="4" t="s">
        <v>843</v>
      </c>
    </row>
    <row r="10" customFormat="false" ht="23.85" hidden="false" customHeight="false" outlineLevel="0" collapsed="false">
      <c r="A10" s="4" t="s">
        <v>844</v>
      </c>
      <c r="B10" s="4" t="s">
        <v>845</v>
      </c>
      <c r="C10" s="4" t="s">
        <v>846</v>
      </c>
      <c r="D10" s="4" t="s">
        <v>847</v>
      </c>
    </row>
    <row r="11" customFormat="false" ht="35.05" hidden="false" customHeight="false" outlineLevel="0" collapsed="false">
      <c r="A11" s="4" t="s">
        <v>848</v>
      </c>
      <c r="B11" s="4" t="s">
        <v>849</v>
      </c>
      <c r="C11" s="4" t="s">
        <v>850</v>
      </c>
      <c r="D11" s="4" t="s">
        <v>851</v>
      </c>
    </row>
    <row r="12" customFormat="false" ht="35.05" hidden="false" customHeight="false" outlineLevel="0" collapsed="false">
      <c r="A12" s="4" t="s">
        <v>852</v>
      </c>
      <c r="B12" s="4" t="s">
        <v>853</v>
      </c>
      <c r="C12" s="4" t="s">
        <v>854</v>
      </c>
      <c r="D12" s="4" t="s">
        <v>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2026-10-09T04:46:24Z</dcterms:created>
  <dc:creator>openpyxl</dc:creator>
  <dc:description/>
  <dc:language>en-US</dc:language>
  <cp:lastModifiedBy/>
  <dcterms:modified xsi:type="dcterms:W3CDTF">2026-10-09T04:46:24Z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